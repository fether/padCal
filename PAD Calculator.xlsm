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1075" windowHeight="10035"/>
  </bookViews>
  <sheets>
    <sheet name="Calculator" sheetId="1" r:id="rId1"/>
    <sheet name="Monster Database" sheetId="5" r:id="rId2"/>
    <sheet name="Lists" sheetId="2" r:id="rId3"/>
  </sheets>
  <definedNames>
    <definedName name="aaa" localSheetId="1">'Monster Database'!$F$1:$Z$1218</definedName>
    <definedName name="aaa_1" localSheetId="1">'Monster Database'!$F$1:$Z$1297</definedName>
    <definedName name="asdf_1" localSheetId="1">'Monster Database'!$F$1:$Z$1302</definedName>
    <definedName name="csv" localSheetId="1">'Monster Database'!$F$1:$Z$1407</definedName>
    <definedName name="Elements">Lists!$A$1:$A$6</definedName>
    <definedName name="ElementTypes">Lists!$C$1:$C$16</definedName>
    <definedName name="EnhancedOrbs">Lists!$D$1:$D$6</definedName>
    <definedName name="OrbMatches">Lists!$E$1:$E$28</definedName>
    <definedName name="RowCount">Lists!$F$1:$F$4</definedName>
    <definedName name="test" localSheetId="1">'Monster Database'!$F$1:$Z$1257</definedName>
    <definedName name="Types">Lists!$B$1:$B$11</definedName>
  </definedNames>
  <calcPr calcId="145621"/>
</workbook>
</file>

<file path=xl/calcChain.xml><?xml version="1.0" encoding="utf-8"?>
<calcChain xmlns="http://schemas.openxmlformats.org/spreadsheetml/2006/main">
  <c r="G26" i="1" l="1"/>
  <c r="F26" i="1"/>
  <c r="E26" i="1"/>
  <c r="D26" i="1"/>
  <c r="C26" i="1"/>
  <c r="B26" i="1"/>
  <c r="D50" i="1"/>
  <c r="B23" i="1"/>
  <c r="B3" i="1" l="1"/>
  <c r="F50" i="1"/>
  <c r="E50" i="1"/>
  <c r="C50" i="1"/>
  <c r="B50" i="1"/>
  <c r="F47" i="1"/>
  <c r="E47" i="1"/>
  <c r="D47" i="1"/>
  <c r="C47" i="1"/>
  <c r="B47" i="1"/>
  <c r="G34" i="1"/>
  <c r="F34" i="1"/>
  <c r="E34" i="1"/>
  <c r="D34" i="1"/>
  <c r="C34" i="1"/>
  <c r="B34" i="1"/>
  <c r="G33" i="1"/>
  <c r="F33" i="1"/>
  <c r="E33" i="1"/>
  <c r="D33" i="1"/>
  <c r="C33" i="1"/>
  <c r="B33" i="1"/>
  <c r="G32" i="1"/>
  <c r="F32" i="1"/>
  <c r="E32" i="1"/>
  <c r="D32" i="1"/>
  <c r="C32" i="1"/>
  <c r="B32" i="1"/>
  <c r="G23" i="1"/>
  <c r="F23" i="1"/>
  <c r="E23" i="1"/>
  <c r="D23" i="1"/>
  <c r="C23" i="1"/>
  <c r="G20" i="1"/>
  <c r="F20" i="1"/>
  <c r="E20" i="1"/>
  <c r="D20" i="1"/>
  <c r="C20" i="1"/>
  <c r="B20" i="1"/>
  <c r="G17" i="1"/>
  <c r="F17" i="1"/>
  <c r="E17" i="1"/>
  <c r="D17" i="1"/>
  <c r="C17" i="1"/>
  <c r="B17" i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9" i="1"/>
  <c r="F9" i="1"/>
  <c r="E9" i="1"/>
  <c r="D9" i="1"/>
  <c r="C9" i="1"/>
  <c r="B9" i="1"/>
  <c r="G5" i="1"/>
  <c r="F5" i="1"/>
  <c r="E5" i="1"/>
  <c r="D5" i="1"/>
  <c r="C5" i="1"/>
  <c r="B5" i="1"/>
  <c r="G4" i="1"/>
  <c r="F4" i="1"/>
  <c r="E4" i="1"/>
  <c r="D4" i="1"/>
  <c r="C4" i="1"/>
  <c r="B4" i="1"/>
  <c r="G3" i="1"/>
  <c r="F3" i="1"/>
  <c r="E3" i="1"/>
  <c r="D3" i="1"/>
  <c r="C3" i="1"/>
  <c r="C6" i="1" l="1"/>
  <c r="C74" i="1"/>
  <c r="G74" i="1"/>
  <c r="D73" i="1"/>
  <c r="F73" i="1"/>
  <c r="E73" i="1"/>
  <c r="B73" i="1"/>
  <c r="C73" i="1"/>
  <c r="G73" i="1"/>
  <c r="E74" i="1"/>
  <c r="B74" i="1"/>
  <c r="F74" i="1"/>
  <c r="D74" i="1"/>
  <c r="E6" i="1"/>
  <c r="G6" i="1" s="1"/>
  <c r="E70" i="1" l="1"/>
  <c r="C70" i="1"/>
  <c r="F70" i="1"/>
  <c r="D70" i="1"/>
  <c r="B70" i="1"/>
  <c r="B81" i="1"/>
  <c r="G81" i="1"/>
  <c r="F81" i="1"/>
  <c r="E81" i="1"/>
  <c r="D81" i="1"/>
  <c r="C81" i="1"/>
  <c r="G83" i="1" l="1"/>
  <c r="B83" i="1"/>
  <c r="D83" i="1"/>
  <c r="E83" i="1"/>
  <c r="F83" i="1"/>
  <c r="C83" i="1"/>
  <c r="F82" i="1"/>
  <c r="D82" i="1"/>
  <c r="B82" i="1"/>
  <c r="G82" i="1"/>
  <c r="E82" i="1"/>
  <c r="C82" i="1"/>
  <c r="F44" i="1"/>
  <c r="B44" i="1"/>
  <c r="E44" i="1"/>
  <c r="D44" i="1"/>
  <c r="C44" i="1"/>
  <c r="B41" i="1"/>
  <c r="G70" i="1" s="1"/>
  <c r="B38" i="1"/>
  <c r="E86" i="1" l="1"/>
  <c r="C86" i="1"/>
  <c r="F86" i="1"/>
  <c r="D86" i="1"/>
  <c r="B86" i="1"/>
  <c r="E55" i="1"/>
  <c r="G86" i="1" l="1"/>
  <c r="G72" i="1"/>
  <c r="F72" i="1"/>
  <c r="E72" i="1"/>
  <c r="D72" i="1"/>
  <c r="C72" i="1"/>
  <c r="B72" i="1"/>
</calcChain>
</file>

<file path=xl/comments1.xml><?xml version="1.0" encoding="utf-8"?>
<comments xmlns="http://schemas.openxmlformats.org/spreadsheetml/2006/main">
  <authors>
    <author>Arkaether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Blue boxes are for user input. Please use pad.wikia.com for ID values, as JP/NA have different IDs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 xml:space="preserve">Rarity score is an estimate, as it is not calculated from an exact formula. May vary by one or two hundred points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6" authorId="0">
      <text>
        <r>
          <rPr>
            <sz val="9"/>
            <color indexed="81"/>
            <rFont val="Tahoma"/>
            <family val="2"/>
          </rPr>
          <t xml:space="preserve">If you choose one of the percentage options, the damage calculated will be an average, not an exact value
</t>
        </r>
      </text>
    </comment>
    <comment ref="A62" authorId="0">
      <text>
        <r>
          <rPr>
            <sz val="9"/>
            <color indexed="81"/>
            <rFont val="Tahoma"/>
            <family val="2"/>
          </rPr>
          <t>Please note that the number of orbs are selectable! For example, you can change it to 4-orb match instead of 3-orb match if you need a different board setup</t>
        </r>
      </text>
    </comment>
  </commentList>
</comments>
</file>

<file path=xl/connections.xml><?xml version="1.0" encoding="utf-8"?>
<connections xmlns="http://schemas.openxmlformats.org/spreadsheetml/2006/main">
  <connection id="1" name="aaa" type="6" refreshedVersion="4" background="1" saveData="1">
    <textPr codePage="932" sourceFile="D:\Desktop\aaa.txt" comma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aa11" type="6" refreshedVersion="4" background="1" saveData="1">
    <textPr codePage="932" sourceFile="D:\Desktop\aaa.txt" comma="1">
      <textFields count="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sdf" type="6" refreshedVersion="4" deleted="1" background="1" saveData="1">
    <textPr codePage="932" sourceFile="D:\Desktop\asdf.txt" comma="1">
      <textFields count="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csv" type="6" refreshedVersion="4" background="1" saveData="1">
    <textPr codePage="932" sourceFile="D:\Desktop\csv.txt" comma="1">
      <textFields count="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est1" type="6" refreshedVersion="4" background="1" saveData="1">
    <textPr codePage="932" sourceFile="D:\Desktop\test.txt" comma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<sst xmlns="http://schemas.openxmlformats.org/spreadsheetml/2006/main" count="7194" uniqueCount="2983">
  <si>
    <t>Base Damage</t>
  </si>
  <si>
    <t>Active Skill Multiplier</t>
  </si>
  <si>
    <t>Fire</t>
  </si>
  <si>
    <t>Wood</t>
  </si>
  <si>
    <t>Water</t>
  </si>
  <si>
    <t>Light</t>
  </si>
  <si>
    <t>Dark</t>
  </si>
  <si>
    <t>Heal</t>
  </si>
  <si>
    <t>Leader HP Multiplier</t>
  </si>
  <si>
    <t>Friend HP Multiplier</t>
  </si>
  <si>
    <t>Leader ATK Multiplier</t>
  </si>
  <si>
    <t>Friend ATK Multiplier</t>
  </si>
  <si>
    <t>Leader RCV Multiplier</t>
  </si>
  <si>
    <t>Friend RCV Multiplier</t>
  </si>
  <si>
    <t>Leader</t>
  </si>
  <si>
    <t>#1</t>
  </si>
  <si>
    <t>#2</t>
  </si>
  <si>
    <t>#3</t>
  </si>
  <si>
    <t>#4</t>
  </si>
  <si>
    <t>Friend</t>
  </si>
  <si>
    <t>Main Element</t>
  </si>
  <si>
    <t>Sub Element</t>
  </si>
  <si>
    <t>FIRE</t>
  </si>
  <si>
    <t>WATER</t>
  </si>
  <si>
    <t>WOOD</t>
  </si>
  <si>
    <t>LIGHT</t>
  </si>
  <si>
    <t>DARK</t>
  </si>
  <si>
    <t>Final HP</t>
  </si>
  <si>
    <t>Final RCV</t>
  </si>
  <si>
    <t>for</t>
  </si>
  <si>
    <t>monsters</t>
  </si>
  <si>
    <t>NONE</t>
  </si>
  <si>
    <t>DRAGON</t>
  </si>
  <si>
    <t>BALANCED</t>
  </si>
  <si>
    <t>PHYSICAL</t>
  </si>
  <si>
    <t>HEALER</t>
  </si>
  <si>
    <t>ATTACKER</t>
  </si>
  <si>
    <t>GOD</t>
  </si>
  <si>
    <t>DEVIL</t>
  </si>
  <si>
    <t>EVO</t>
  </si>
  <si>
    <t>ENHANCE</t>
  </si>
  <si>
    <t>PROTECTED</t>
  </si>
  <si>
    <t>ALL</t>
  </si>
  <si>
    <t>Main Type</t>
  </si>
  <si>
    <t>Sub Type</t>
  </si>
  <si>
    <t>+HP Eggs</t>
  </si>
  <si>
    <t>+ATK Eggs</t>
  </si>
  <si>
    <t>+RCV Eggs</t>
  </si>
  <si>
    <t>Total Damage</t>
  </si>
  <si>
    <t>Individual Breakdown</t>
  </si>
  <si>
    <t>Sub Element Damage</t>
  </si>
  <si>
    <t>Main Element Damage</t>
  </si>
  <si>
    <t>Matched Orbs</t>
  </si>
  <si>
    <t>3-Orb Match</t>
  </si>
  <si>
    <t>30-Orb Match</t>
  </si>
  <si>
    <t>5-Orb Match</t>
  </si>
  <si>
    <t>4-Orb Match</t>
  </si>
  <si>
    <t>6-Orb Match</t>
  </si>
  <si>
    <t>7-Orb Match</t>
  </si>
  <si>
    <t>8-Orb Match</t>
  </si>
  <si>
    <t>9-Orb Match</t>
  </si>
  <si>
    <t>10-Orb Match</t>
  </si>
  <si>
    <t>11-Orb Match</t>
  </si>
  <si>
    <t>12-Orb Match</t>
  </si>
  <si>
    <t>13-Orb Match</t>
  </si>
  <si>
    <t>14-Orb Match</t>
  </si>
  <si>
    <t>15-Orb Match</t>
  </si>
  <si>
    <t>16-Orb Match</t>
  </si>
  <si>
    <t>17-Orb Match</t>
  </si>
  <si>
    <t>18-Orb Match</t>
  </si>
  <si>
    <t>19-Orb Match</t>
  </si>
  <si>
    <t>20-Orb Match</t>
  </si>
  <si>
    <t>21-Orb Match</t>
  </si>
  <si>
    <t>22-Orb Match</t>
  </si>
  <si>
    <t>23-Orb Match</t>
  </si>
  <si>
    <t>24-Orb Match</t>
  </si>
  <si>
    <t>25-Orb Match</t>
  </si>
  <si>
    <t>26-Orb Match</t>
  </si>
  <si>
    <t>27-Orb Match</t>
  </si>
  <si>
    <t>28-Orb Match</t>
  </si>
  <si>
    <t>29-Orb Match</t>
  </si>
  <si>
    <t>Number of Matched Rows</t>
  </si>
  <si>
    <t>Combo Damage Calculation:</t>
  </si>
  <si>
    <t>Bastet</t>
  </si>
  <si>
    <t>Parvati</t>
  </si>
  <si>
    <t>Fafnir</t>
  </si>
  <si>
    <t>Enemy Element:</t>
  </si>
  <si>
    <t>TOTAL</t>
  </si>
  <si>
    <t>Cost</t>
  </si>
  <si>
    <t>element</t>
  </si>
  <si>
    <t>element2</t>
  </si>
  <si>
    <t>name</t>
  </si>
  <si>
    <t>max_level</t>
  </si>
  <si>
    <t>awoken_skills</t>
  </si>
  <si>
    <t>hp_max</t>
  </si>
  <si>
    <t>rcv_min</t>
  </si>
  <si>
    <t>rcv_max</t>
  </si>
  <si>
    <t>rcv_scale</t>
  </si>
  <si>
    <t>atk_scale</t>
  </si>
  <si>
    <t>id</t>
  </si>
  <si>
    <t>type2</t>
  </si>
  <si>
    <t>hp_scale</t>
  </si>
  <si>
    <t>xp_curve</t>
  </si>
  <si>
    <t>leader_skill</t>
  </si>
  <si>
    <t>team_cost</t>
  </si>
  <si>
    <t>type</t>
  </si>
  <si>
    <t>hp_min</t>
  </si>
  <si>
    <t>rarity</t>
  </si>
  <si>
    <t>active_skill</t>
  </si>
  <si>
    <t>atk_min</t>
  </si>
  <si>
    <t>atk_max</t>
  </si>
  <si>
    <t>jp_only</t>
  </si>
  <si>
    <t>null</t>
  </si>
  <si>
    <t>Tyrra</t>
  </si>
  <si>
    <t>Fire Power</t>
  </si>
  <si>
    <t>Heat Breath</t>
  </si>
  <si>
    <t>Tyran</t>
  </si>
  <si>
    <t>Tyrannos</t>
  </si>
  <si>
    <t>Magma Breath</t>
  </si>
  <si>
    <t>Firedragon Tyrannos</t>
  </si>
  <si>
    <t>1,2,21</t>
  </si>
  <si>
    <t>Power of Explosion</t>
  </si>
  <si>
    <t>Plessie</t>
  </si>
  <si>
    <t>Water Power</t>
  </si>
  <si>
    <t>Cold Breath</t>
  </si>
  <si>
    <t>Plesiel</t>
  </si>
  <si>
    <t>Plesios</t>
  </si>
  <si>
    <t>Blizzard Breath</t>
  </si>
  <si>
    <t>Icedragon Plesios</t>
  </si>
  <si>
    <t>Power of Water Rapids</t>
  </si>
  <si>
    <t>Brachy</t>
  </si>
  <si>
    <t>Wood Power</t>
  </si>
  <si>
    <t>Wind Breath</t>
  </si>
  <si>
    <t>Brachio</t>
  </si>
  <si>
    <t>Brachys</t>
  </si>
  <si>
    <t>Gaia Breath</t>
  </si>
  <si>
    <t>Flowerdragon Brachys</t>
  </si>
  <si>
    <t>Power of Gaia</t>
  </si>
  <si>
    <t>Pterra</t>
  </si>
  <si>
    <t>Light Power</t>
  </si>
  <si>
    <t>Flash Breath</t>
  </si>
  <si>
    <t>Pteras</t>
  </si>
  <si>
    <t>Pterados</t>
  </si>
  <si>
    <t>Holy Breath</t>
  </si>
  <si>
    <t>Sundragon Pterados</t>
  </si>
  <si>
    <t>Power of Flash</t>
  </si>
  <si>
    <t>Spinon</t>
  </si>
  <si>
    <t>Dark Power</t>
  </si>
  <si>
    <t>Dark Breath</t>
  </si>
  <si>
    <t>Spinas</t>
  </si>
  <si>
    <t>D'spinas</t>
  </si>
  <si>
    <t>Inferno Breath</t>
  </si>
  <si>
    <t>Moondragon D'spinas</t>
  </si>
  <si>
    <t>Power of Darkness</t>
  </si>
  <si>
    <t>Lil' Red Dragon</t>
  </si>
  <si>
    <t>Heat Ball</t>
  </si>
  <si>
    <t>Red Dragon</t>
  </si>
  <si>
    <t>Fire Guard</t>
  </si>
  <si>
    <t>Volcano Dragon</t>
  </si>
  <si>
    <t>Fire Ball</t>
  </si>
  <si>
    <t>Lil' Blue Dragon</t>
  </si>
  <si>
    <t>Cold Ball</t>
  </si>
  <si>
    <t>Blue Dragon</t>
  </si>
  <si>
    <t>Water Guard</t>
  </si>
  <si>
    <t>Aurora Dragon</t>
  </si>
  <si>
    <t>Ice Ball</t>
  </si>
  <si>
    <t>Lil' Green Dragon</t>
  </si>
  <si>
    <t>Wind Ball</t>
  </si>
  <si>
    <t>Green Dragon</t>
  </si>
  <si>
    <t>Wood Guard</t>
  </si>
  <si>
    <t>Earth Dragon</t>
  </si>
  <si>
    <t>Earth Ball</t>
  </si>
  <si>
    <t>Lil' White Dragon</t>
  </si>
  <si>
    <t>Flash Ball</t>
  </si>
  <si>
    <t>White Dragon</t>
  </si>
  <si>
    <t>Light Guard</t>
  </si>
  <si>
    <t>Holy Dragon</t>
  </si>
  <si>
    <t>Thunder Ball</t>
  </si>
  <si>
    <t>Lil' Black Dragon</t>
  </si>
  <si>
    <t>Dark Ball</t>
  </si>
  <si>
    <t>Black Dragon</t>
  </si>
  <si>
    <t>Dark Guard</t>
  </si>
  <si>
    <t>Devil Dragon</t>
  </si>
  <si>
    <t>Chaos Ball</t>
  </si>
  <si>
    <t>Flamie</t>
  </si>
  <si>
    <t>Big Flamie</t>
  </si>
  <si>
    <t>Attack Stance - Fire</t>
  </si>
  <si>
    <t>Bubblie</t>
  </si>
  <si>
    <t>Big Bubblie</t>
  </si>
  <si>
    <t>Guard Stance - Water</t>
  </si>
  <si>
    <t>Woodsie</t>
  </si>
  <si>
    <t>Big Woodsie</t>
  </si>
  <si>
    <t>Orb Refresh</t>
  </si>
  <si>
    <t>Shynee</t>
  </si>
  <si>
    <t>Big Shynee</t>
  </si>
  <si>
    <t>Guard Stance - Light</t>
  </si>
  <si>
    <t>Baddie</t>
  </si>
  <si>
    <t>Big Baddie</t>
  </si>
  <si>
    <t>Attack Stance - Dark</t>
  </si>
  <si>
    <t>Red Carbuncle</t>
  </si>
  <si>
    <t>Ray of Healing</t>
  </si>
  <si>
    <t>Ruby Carbuncle</t>
  </si>
  <si>
    <t>Light of Healing</t>
  </si>
  <si>
    <t>Blue Carbuncle</t>
  </si>
  <si>
    <t>Sapphire Carbuncle</t>
  </si>
  <si>
    <t>Green Carbuncle</t>
  </si>
  <si>
    <t>Emerald Carbuncle</t>
  </si>
  <si>
    <t>Yellow Carbuncle</t>
  </si>
  <si>
    <t>Topaz Carbuncle</t>
  </si>
  <si>
    <t>Purple Carbuncle</t>
  </si>
  <si>
    <t>Amethyst Carbuncle</t>
  </si>
  <si>
    <t>Red Goblin</t>
  </si>
  <si>
    <t>Samurai Goblin</t>
  </si>
  <si>
    <t>Blue Goblin</t>
  </si>
  <si>
    <t>Marine Goblin</t>
  </si>
  <si>
    <t>Goblin</t>
  </si>
  <si>
    <t>Hobgoblin</t>
  </si>
  <si>
    <t>Red Ogre</t>
  </si>
  <si>
    <t>Resolve</t>
  </si>
  <si>
    <t>Samurai Ogre</t>
  </si>
  <si>
    <t>21,21</t>
  </si>
  <si>
    <t>Blue Ogre</t>
  </si>
  <si>
    <t>Ice Ogre</t>
  </si>
  <si>
    <t>Ogre</t>
  </si>
  <si>
    <t>Armor Ogre</t>
  </si>
  <si>
    <t>Flame Fighter</t>
  </si>
  <si>
    <t>Guard Break</t>
  </si>
  <si>
    <t>Flame Knight</t>
  </si>
  <si>
    <t>Aqua Fighter</t>
  </si>
  <si>
    <t>Aqua Knight</t>
  </si>
  <si>
    <t>Earth Fighter</t>
  </si>
  <si>
    <t>Earth Knight</t>
  </si>
  <si>
    <t>White Fighter</t>
  </si>
  <si>
    <t>White Knight</t>
  </si>
  <si>
    <t>Black Fighter</t>
  </si>
  <si>
    <t>Black Knight</t>
  </si>
  <si>
    <t>Flame Golem</t>
  </si>
  <si>
    <t>Protector's Lore</t>
  </si>
  <si>
    <t>Defensive Stance</t>
  </si>
  <si>
    <t>Flame Guardian</t>
  </si>
  <si>
    <t>Ice Golem</t>
  </si>
  <si>
    <t>Ice Guardian</t>
  </si>
  <si>
    <t>Earth Golem</t>
  </si>
  <si>
    <t>Earth Guardian</t>
  </si>
  <si>
    <t>Machine Golem</t>
  </si>
  <si>
    <t>Armor Break</t>
  </si>
  <si>
    <t>Machine Golem Mk.II</t>
  </si>
  <si>
    <t>Dark Golem</t>
  </si>
  <si>
    <t>Dark Golem Mk.II</t>
  </si>
  <si>
    <t>Naga</t>
  </si>
  <si>
    <t>Inferno</t>
  </si>
  <si>
    <t>Menace</t>
  </si>
  <si>
    <t>Echidna</t>
  </si>
  <si>
    <t>Mermaid</t>
  </si>
  <si>
    <t>Healing Song</t>
  </si>
  <si>
    <t>Siren</t>
  </si>
  <si>
    <t>Dryad</t>
  </si>
  <si>
    <t>Healing Prayer</t>
  </si>
  <si>
    <t>Cure</t>
  </si>
  <si>
    <t>Mandrake</t>
  </si>
  <si>
    <t>Cupid</t>
  </si>
  <si>
    <t>Angel</t>
  </si>
  <si>
    <t>Succubus</t>
  </si>
  <si>
    <t>Quickness</t>
  </si>
  <si>
    <t>Poison Mist</t>
  </si>
  <si>
    <t>Lilith</t>
  </si>
  <si>
    <t>Mystic Flame Knight</t>
  </si>
  <si>
    <t>Fire Orb Change</t>
  </si>
  <si>
    <t>Phoenix Knight</t>
  </si>
  <si>
    <t>Mystic Ice Knight</t>
  </si>
  <si>
    <t>Water Orb Change</t>
  </si>
  <si>
    <t>Fenrir Knight</t>
  </si>
  <si>
    <t>Mystic Stone Knight</t>
  </si>
  <si>
    <t>Wood Orb Change</t>
  </si>
  <si>
    <t>Dragon Knight</t>
  </si>
  <si>
    <t>Mystic Light Knight</t>
  </si>
  <si>
    <t>Light Orb Change</t>
  </si>
  <si>
    <t>Verche</t>
  </si>
  <si>
    <t>Titan</t>
  </si>
  <si>
    <t>Gigas</t>
  </si>
  <si>
    <t>Mystic Dark Knight</t>
  </si>
  <si>
    <t>Dark Orb Change</t>
  </si>
  <si>
    <t>Dark Dragon Knight</t>
  </si>
  <si>
    <t>Vampire</t>
  </si>
  <si>
    <t>Vampire Lord</t>
  </si>
  <si>
    <t>Salamander</t>
  </si>
  <si>
    <t>Fire Breath</t>
  </si>
  <si>
    <t>Ifrit</t>
  </si>
  <si>
    <t>22,21,22</t>
  </si>
  <si>
    <t>Sea Serpent</t>
  </si>
  <si>
    <t>Ice Breath</t>
  </si>
  <si>
    <t>Leviathan</t>
  </si>
  <si>
    <t>23,21,23</t>
  </si>
  <si>
    <t>Dragonette</t>
  </si>
  <si>
    <t>Earth Breath</t>
  </si>
  <si>
    <t>24,21,24</t>
  </si>
  <si>
    <t>Ivory Dragon</t>
  </si>
  <si>
    <t>Thunder Breath</t>
  </si>
  <si>
    <t>Divinegon</t>
  </si>
  <si>
    <t>25,21,25</t>
  </si>
  <si>
    <t>Basilisk</t>
  </si>
  <si>
    <t>Chaos Breath</t>
  </si>
  <si>
    <t>Tiamat</t>
  </si>
  <si>
    <t>26,21,26</t>
  </si>
  <si>
    <t>Minerva</t>
  </si>
  <si>
    <t>Flame Barrier</t>
  </si>
  <si>
    <t>Energy Bomb</t>
  </si>
  <si>
    <t>War Deity Minerva</t>
  </si>
  <si>
    <t>Quick Bomb</t>
  </si>
  <si>
    <t>Neptune</t>
  </si>
  <si>
    <t>Ice Barrier</t>
  </si>
  <si>
    <t>Poison Death Mist</t>
  </si>
  <si>
    <t>Sea Deity Neptune</t>
  </si>
  <si>
    <t>Hydra's Poison</t>
  </si>
  <si>
    <t>Ceres</t>
  </si>
  <si>
    <t>Tree Barrier</t>
  </si>
  <si>
    <t>Shower of Healing</t>
  </si>
  <si>
    <t>Fertility Deity Ceres</t>
  </si>
  <si>
    <t>Venus</t>
  </si>
  <si>
    <t>Light Barrier</t>
  </si>
  <si>
    <t>World</t>
  </si>
  <si>
    <t>Love Deity Venus</t>
  </si>
  <si>
    <t>Change the World</t>
  </si>
  <si>
    <t>Hades</t>
  </si>
  <si>
    <t>Dark Barrier</t>
  </si>
  <si>
    <t>Gravity</t>
  </si>
  <si>
    <t>Underlord Hades</t>
  </si>
  <si>
    <t>Ultra Gravity</t>
  </si>
  <si>
    <t>Kagutsuchi</t>
  </si>
  <si>
    <t>Purgatory</t>
  </si>
  <si>
    <t>Hino Kagutsuchi</t>
  </si>
  <si>
    <t>Hellfire</t>
  </si>
  <si>
    <t>Burst Bomb</t>
  </si>
  <si>
    <t>Viper Orochi</t>
  </si>
  <si>
    <t>Perseverance</t>
  </si>
  <si>
    <t>Force</t>
  </si>
  <si>
    <t>Demon Viper Orochi</t>
  </si>
  <si>
    <t>Susano</t>
  </si>
  <si>
    <t>Iron Wall Lore</t>
  </si>
  <si>
    <t>Iron Wall Stance</t>
  </si>
  <si>
    <t>Susano no Mikoto</t>
  </si>
  <si>
    <t>1,2,3</t>
  </si>
  <si>
    <t>Amaterasu</t>
  </si>
  <si>
    <t>Amaterasu Ohkami</t>
  </si>
  <si>
    <t>Miracle</t>
  </si>
  <si>
    <t>Yomi</t>
  </si>
  <si>
    <t>Quick Boost</t>
  </si>
  <si>
    <t>Tsuku Yomi</t>
  </si>
  <si>
    <t>God's Hand</t>
  </si>
  <si>
    <t>Flamedragon Muspelheim</t>
  </si>
  <si>
    <t>14,21</t>
  </si>
  <si>
    <t>Ice Dragon Niflheim</t>
  </si>
  <si>
    <t>15,21</t>
  </si>
  <si>
    <t>Isle Dragon Yggdrasil</t>
  </si>
  <si>
    <t>16,21</t>
  </si>
  <si>
    <t>Mechadragon Valhalla</t>
  </si>
  <si>
    <t>17,21</t>
  </si>
  <si>
    <t>Evil Dragon Helheim</t>
  </si>
  <si>
    <t>18,21</t>
  </si>
  <si>
    <t>Keeper of Flame</t>
  </si>
  <si>
    <t>Keeper of Water</t>
  </si>
  <si>
    <t>Keeper of Forest</t>
  </si>
  <si>
    <t>Keeper of Light</t>
  </si>
  <si>
    <t>Keeper of Dark</t>
  </si>
  <si>
    <t>Dragon Seed</t>
  </si>
  <si>
    <t>Dragon Plant</t>
  </si>
  <si>
    <t>Dragon Flower</t>
  </si>
  <si>
    <t>Rubylit</t>
  </si>
  <si>
    <t>Sapphilit</t>
  </si>
  <si>
    <t>Emelit</t>
  </si>
  <si>
    <t>Topalit</t>
  </si>
  <si>
    <t>Amelit</t>
  </si>
  <si>
    <t>Mythlit</t>
  </si>
  <si>
    <t>Red Evolution Mask</t>
  </si>
  <si>
    <t>Blue Evolution Mask</t>
  </si>
  <si>
    <t>Green Evolution Mask</t>
  </si>
  <si>
    <t>Yellow Evolution Mask</t>
  </si>
  <si>
    <t>Purple Evolution Mask</t>
  </si>
  <si>
    <t>Crimson Demon Mask</t>
  </si>
  <si>
    <t>Indigo Demon Mask</t>
  </si>
  <si>
    <t>Azure Demon Mask</t>
  </si>
  <si>
    <t>Golden Demon Mask</t>
  </si>
  <si>
    <t>Violet Demon Mask</t>
  </si>
  <si>
    <t>Divine Carmine Mask</t>
  </si>
  <si>
    <t>Divine Indigo Mask</t>
  </si>
  <si>
    <t>Divine Jade Mask</t>
  </si>
  <si>
    <t>Divine Gold Mask</t>
  </si>
  <si>
    <t>Divine Onyx Mask</t>
  </si>
  <si>
    <t>Metal Dragon</t>
  </si>
  <si>
    <t>High Metal Dragon</t>
  </si>
  <si>
    <t>King Metal Dragon</t>
  </si>
  <si>
    <t>Gold Dragon</t>
  </si>
  <si>
    <t>High Gold Dragon</t>
  </si>
  <si>
    <t>King Gold Dragon</t>
  </si>
  <si>
    <t>Poring</t>
  </si>
  <si>
    <t>Marin</t>
  </si>
  <si>
    <t>Attack Stance - Water</t>
  </si>
  <si>
    <t>Poporing</t>
  </si>
  <si>
    <t>Attack Stance - Wood</t>
  </si>
  <si>
    <t>Drops</t>
  </si>
  <si>
    <t>Attack Stance - Light</t>
  </si>
  <si>
    <t>Ghostring</t>
  </si>
  <si>
    <t>Zeus</t>
  </si>
  <si>
    <t>Power of Zeus</t>
  </si>
  <si>
    <t>Wrath of God</t>
  </si>
  <si>
    <t>Awoken Zeus</t>
  </si>
  <si>
    <t>7,17,2</t>
  </si>
  <si>
    <t>Hera</t>
  </si>
  <si>
    <t>Awoken Hera</t>
  </si>
  <si>
    <t>8,18,2</t>
  </si>
  <si>
    <t>Pyro Devil</t>
  </si>
  <si>
    <t>Bomb</t>
  </si>
  <si>
    <t>Pyro Demon</t>
  </si>
  <si>
    <t>Frost Devil</t>
  </si>
  <si>
    <t>Frost Demon</t>
  </si>
  <si>
    <t>Taur Devil</t>
  </si>
  <si>
    <t>Taur Demon</t>
  </si>
  <si>
    <t>Harpie Devil</t>
  </si>
  <si>
    <t>Harpie Demon</t>
  </si>
  <si>
    <t>Blood Devil</t>
  </si>
  <si>
    <t>Blood Demon</t>
  </si>
  <si>
    <t>Empress of Serpents, Echidna</t>
  </si>
  <si>
    <t>11,3,2</t>
  </si>
  <si>
    <t>Enchantress of the Sea, Siren</t>
  </si>
  <si>
    <t>11,3,9</t>
  </si>
  <si>
    <t>Rondo of Healing</t>
  </si>
  <si>
    <t>Mystical Forest Pixie, Alraune</t>
  </si>
  <si>
    <t>20,9,9</t>
  </si>
  <si>
    <t>Messenger of God, Archangel</t>
  </si>
  <si>
    <t>9,9,20</t>
  </si>
  <si>
    <t>Witch of the Night, Lilith</t>
  </si>
  <si>
    <t>9,3,19</t>
  </si>
  <si>
    <t>Mars Light Carbuncle</t>
  </si>
  <si>
    <t>9,21</t>
  </si>
  <si>
    <t>Light of Mighty Healing</t>
  </si>
  <si>
    <t>Mercury Light Carbuncle</t>
  </si>
  <si>
    <t>Earth Light Carbuncle</t>
  </si>
  <si>
    <t>Sunlight Carbuncle</t>
  </si>
  <si>
    <t>Moonlight Carbuncle</t>
  </si>
  <si>
    <t>Meteor Volcano Dragon</t>
  </si>
  <si>
    <t>4,4,21</t>
  </si>
  <si>
    <t>Magma Ball</t>
  </si>
  <si>
    <t>Crystal Aurora Dragon</t>
  </si>
  <si>
    <t>5,5,21</t>
  </si>
  <si>
    <t>Blizzard Ball</t>
  </si>
  <si>
    <t>Graviton Earth Dragon</t>
  </si>
  <si>
    <t>6,6,21</t>
  </si>
  <si>
    <t>Gaia Ball</t>
  </si>
  <si>
    <t>Lightning Holy Dragon</t>
  </si>
  <si>
    <t>7,7,21</t>
  </si>
  <si>
    <t>Holy Ball</t>
  </si>
  <si>
    <t>Chaos Devil Dragon</t>
  </si>
  <si>
    <t>8,8,21</t>
  </si>
  <si>
    <t>Hell Ball</t>
  </si>
  <si>
    <t>Flame Breath</t>
  </si>
  <si>
    <t>Splash Breath</t>
  </si>
  <si>
    <t>Rock Breath</t>
  </si>
  <si>
    <t>Plasma Breath</t>
  </si>
  <si>
    <t>Curse Breath</t>
  </si>
  <si>
    <t>Berserk</t>
  </si>
  <si>
    <t>Lunatic Rage</t>
  </si>
  <si>
    <t>Siegfried, the Blue Champion</t>
  </si>
  <si>
    <t>Dragon's Blood</t>
  </si>
  <si>
    <t>Highlander</t>
  </si>
  <si>
    <t>Oath of the Warrior</t>
  </si>
  <si>
    <t>Cu Chulainn, the Green Lancer</t>
  </si>
  <si>
    <t>Grace of Scathach</t>
  </si>
  <si>
    <t>Valkyrie</t>
  </si>
  <si>
    <t>Pride of the Valkyrie</t>
  </si>
  <si>
    <t>Great Valkyrie</t>
  </si>
  <si>
    <t>Valkyrie's Soul</t>
  </si>
  <si>
    <t>Dragon Fruit</t>
  </si>
  <si>
    <t>Mastering</t>
  </si>
  <si>
    <t>13,14</t>
  </si>
  <si>
    <t>Lucky</t>
  </si>
  <si>
    <t>Phoenix Knight Homura</t>
  </si>
  <si>
    <t>27,14,1</t>
  </si>
  <si>
    <t>Grace of the Phoenix</t>
  </si>
  <si>
    <t>Fenrir Knight Kamui</t>
  </si>
  <si>
    <t>27,15,1</t>
  </si>
  <si>
    <t>Roar of Fenrir</t>
  </si>
  <si>
    <t>Ancient Dragon Knight</t>
  </si>
  <si>
    <t>27,16,1</t>
  </si>
  <si>
    <t>Rage of Dragon Knight</t>
  </si>
  <si>
    <t>Verche, the Knight of the Sky</t>
  </si>
  <si>
    <t>27,17,1</t>
  </si>
  <si>
    <t>Prayer to God</t>
  </si>
  <si>
    <t>Chaos Dragon Knight</t>
  </si>
  <si>
    <t>27,18,1</t>
  </si>
  <si>
    <t>Oath of the Dragon Knight</t>
  </si>
  <si>
    <t>Mystic Mask</t>
  </si>
  <si>
    <t>Shiva</t>
  </si>
  <si>
    <t>Spirit of Fire</t>
  </si>
  <si>
    <t>Shiva, the Destroyer</t>
  </si>
  <si>
    <t>Spirit of Explosion</t>
  </si>
  <si>
    <t>Lakshmi</t>
  </si>
  <si>
    <t>Spirit of Water</t>
  </si>
  <si>
    <t>Magic-Draining Light</t>
  </si>
  <si>
    <t>Fortune Deity Lakshmi</t>
  </si>
  <si>
    <t>Spirit of Water Rapids</t>
  </si>
  <si>
    <t>Spirit of Wood</t>
  </si>
  <si>
    <t>Guard Stance - Wood</t>
  </si>
  <si>
    <t>Parvati, the Golden Goddess</t>
  </si>
  <si>
    <t>Spirit of Gaia</t>
  </si>
  <si>
    <t>Indra</t>
  </si>
  <si>
    <t>Oath of Divinegon</t>
  </si>
  <si>
    <t>Heroic Dragon Guard</t>
  </si>
  <si>
    <t>Thunderdragon Indra</t>
  </si>
  <si>
    <t>Grace of Divinegon</t>
  </si>
  <si>
    <t>Vritra</t>
  </si>
  <si>
    <t>Wrath of Divinegon</t>
  </si>
  <si>
    <t>Grudge Strike</t>
  </si>
  <si>
    <t>Darkdragon Vritra</t>
  </si>
  <si>
    <t>Roar of Divinegon</t>
  </si>
  <si>
    <t>Dub-rubylit</t>
  </si>
  <si>
    <t>Dub-sapphilit</t>
  </si>
  <si>
    <t>Dub-emelit</t>
  </si>
  <si>
    <t>Dub-topalit</t>
  </si>
  <si>
    <t>Dub-amelit</t>
  </si>
  <si>
    <t>Dub-mythlit</t>
  </si>
  <si>
    <t>Ruby Dragon</t>
  </si>
  <si>
    <t>High Ruby Dragon</t>
  </si>
  <si>
    <t>King Ruby Dragon</t>
  </si>
  <si>
    <t>Sapphire Dragon</t>
  </si>
  <si>
    <t>High Sapphire Dragon</t>
  </si>
  <si>
    <t>King Sapphire Dragon</t>
  </si>
  <si>
    <t>Emerald Dragon</t>
  </si>
  <si>
    <t>High Emerald Dragon</t>
  </si>
  <si>
    <t>King Emerald Dragon</t>
  </si>
  <si>
    <t>Super King Metal Dragon</t>
  </si>
  <si>
    <t>Flame Chimera</t>
  </si>
  <si>
    <t>Magma Chimera</t>
  </si>
  <si>
    <t>Bubble Chimera</t>
  </si>
  <si>
    <t>Deep Chimera</t>
  </si>
  <si>
    <t>Leaf Chimera</t>
  </si>
  <si>
    <t>Flower Chimera</t>
  </si>
  <si>
    <t>Volt Chimera</t>
  </si>
  <si>
    <t>Thunder Chimera</t>
  </si>
  <si>
    <t>Mist Chimera</t>
  </si>
  <si>
    <t>Fog Chimera</t>
  </si>
  <si>
    <t>2,2</t>
  </si>
  <si>
    <t>3,5</t>
  </si>
  <si>
    <t>1,6</t>
  </si>
  <si>
    <t>2,8</t>
  </si>
  <si>
    <t>9,10</t>
  </si>
  <si>
    <t>Blast Cannon</t>
  </si>
  <si>
    <t>Blizzard Cannon</t>
  </si>
  <si>
    <t>Tornado Cannon</t>
  </si>
  <si>
    <t>Plasma Cannon</t>
  </si>
  <si>
    <t>Gravity Cannon</t>
  </si>
  <si>
    <t>Drall</t>
  </si>
  <si>
    <t>Fire and Wood Guard</t>
  </si>
  <si>
    <t>Guard Stance - Fire</t>
  </si>
  <si>
    <t>Agdrall</t>
  </si>
  <si>
    <t>Flare Drall</t>
  </si>
  <si>
    <t>6,6,10</t>
  </si>
  <si>
    <t>Blazing Forest Barrier</t>
  </si>
  <si>
    <t>Shardra</t>
  </si>
  <si>
    <t>Fire and Water Guard</t>
  </si>
  <si>
    <t>Shardran</t>
  </si>
  <si>
    <t>Megalodran</t>
  </si>
  <si>
    <t>4,4,10</t>
  </si>
  <si>
    <t>Ice Flame Barrier</t>
  </si>
  <si>
    <t>Toytops</t>
  </si>
  <si>
    <t>Water and Wood Guard</t>
  </si>
  <si>
    <t>Toyceratops</t>
  </si>
  <si>
    <t>Fortoytops</t>
  </si>
  <si>
    <t>5,5,10</t>
  </si>
  <si>
    <t>Frost Forest Barrier</t>
  </si>
  <si>
    <t>Fairlio</t>
  </si>
  <si>
    <t>Light and Wood Guard</t>
  </si>
  <si>
    <t>Fairlion</t>
  </si>
  <si>
    <t>Angelion</t>
  </si>
  <si>
    <t>8,8,10</t>
  </si>
  <si>
    <t>Holy Forest Barrier</t>
  </si>
  <si>
    <t>Pierdra</t>
  </si>
  <si>
    <t>Dark and Water Guard</t>
  </si>
  <si>
    <t>Guard Stance - Dark</t>
  </si>
  <si>
    <t>Pierdrawn</t>
  </si>
  <si>
    <t>Drawn Joker</t>
  </si>
  <si>
    <t>7,7,10</t>
  </si>
  <si>
    <t>Ice Demon Barrier</t>
  </si>
  <si>
    <t>Fire Pengdra</t>
  </si>
  <si>
    <t>Ruby Pengdra</t>
  </si>
  <si>
    <t>Water Pengdra</t>
  </si>
  <si>
    <t>Sapphire Pengdra</t>
  </si>
  <si>
    <t>Wood Pengdra</t>
  </si>
  <si>
    <t>Emerald Pengdra</t>
  </si>
  <si>
    <t>Super King Gold Dragon</t>
  </si>
  <si>
    <t>Ice Samurai Ogre</t>
  </si>
  <si>
    <t>Freeze Strike</t>
  </si>
  <si>
    <t>Wood Samurai Ogre</t>
  </si>
  <si>
    <t>Rock Strike</t>
  </si>
  <si>
    <t>Blazing Ice Ogre</t>
  </si>
  <si>
    <t>Flame Strike</t>
  </si>
  <si>
    <t>Wood Ice Ogre</t>
  </si>
  <si>
    <t>Flame Armor Ogre</t>
  </si>
  <si>
    <t>Ice Armor Ogre</t>
  </si>
  <si>
    <t>14,10,21</t>
  </si>
  <si>
    <t>Blaze Counter</t>
  </si>
  <si>
    <t>15,10,21</t>
  </si>
  <si>
    <t>Freeze Counter</t>
  </si>
  <si>
    <t>16,10,21</t>
  </si>
  <si>
    <t>Stone Counter</t>
  </si>
  <si>
    <t>Machine Golem Mk.III</t>
  </si>
  <si>
    <t>17,10,21</t>
  </si>
  <si>
    <t>Lightning Counter</t>
  </si>
  <si>
    <t>Dark Golem Mk.III</t>
  </si>
  <si>
    <t>18,10,21</t>
  </si>
  <si>
    <t>Darkness Counter</t>
  </si>
  <si>
    <t>Keeper of Rainbow</t>
  </si>
  <si>
    <t>Blue Flame Ifrit</t>
  </si>
  <si>
    <t>Planet of Blue Flame</t>
  </si>
  <si>
    <t>Green Flame Ifrit</t>
  </si>
  <si>
    <t>Planet of Green Flame</t>
  </si>
  <si>
    <t>Shining Flame Ifrit</t>
  </si>
  <si>
    <t>Planet of Shining Flame</t>
  </si>
  <si>
    <t>Dark Flame Ifrit</t>
  </si>
  <si>
    <t>Planet of Dark Flame</t>
  </si>
  <si>
    <t>Red Ice Leviathan</t>
  </si>
  <si>
    <t>Planet of Red Ice</t>
  </si>
  <si>
    <t>Green Ice Leviathan</t>
  </si>
  <si>
    <t>Planet of Green Ice</t>
  </si>
  <si>
    <t>Shining Ice Leviathan</t>
  </si>
  <si>
    <t>Planet of Shining Ice</t>
  </si>
  <si>
    <t>Dark Ice Leviathan</t>
  </si>
  <si>
    <t>Planet of Dark Ice</t>
  </si>
  <si>
    <t>Red Wood Fafnir</t>
  </si>
  <si>
    <t>Planet of Red Forest</t>
  </si>
  <si>
    <t>Blue Wood Fafnir</t>
  </si>
  <si>
    <t>Planet of Blue Forest</t>
  </si>
  <si>
    <t>Shining Wood Fafnir</t>
  </si>
  <si>
    <t>Planet of Shining Forest</t>
  </si>
  <si>
    <t>Dark Wood Fafnir</t>
  </si>
  <si>
    <t>Planet of Dark Forest</t>
  </si>
  <si>
    <t>Red Shining Divinegon</t>
  </si>
  <si>
    <t>Red Shining Star</t>
  </si>
  <si>
    <t>Blue Shining Divinegon</t>
  </si>
  <si>
    <t>Blue Shining Star</t>
  </si>
  <si>
    <t>Green Shining Divinegon</t>
  </si>
  <si>
    <t>Green Shining Star</t>
  </si>
  <si>
    <t>Dark Shining Divinegon</t>
  </si>
  <si>
    <t>Dark Shining Star</t>
  </si>
  <si>
    <t>Blazing Dark Tiamat</t>
  </si>
  <si>
    <t>Red Planet of the Dark</t>
  </si>
  <si>
    <t>Flowing Dark Tiamat</t>
  </si>
  <si>
    <t>Blue Planet of the Dark</t>
  </si>
  <si>
    <t>Wooden Dark Tiamat</t>
  </si>
  <si>
    <t>Green Planet of the Dark</t>
  </si>
  <si>
    <t>Lightning Dark Tiamat</t>
  </si>
  <si>
    <t>Yellow Planet of the Dark</t>
  </si>
  <si>
    <t>ECO Salamander</t>
  </si>
  <si>
    <t>ECO Salamander Alma</t>
  </si>
  <si>
    <t>ECO Pepen</t>
  </si>
  <si>
    <t>ECO Pepen Alma</t>
  </si>
  <si>
    <t>ECO Shabo</t>
  </si>
  <si>
    <t>ECO Shabo Alma</t>
  </si>
  <si>
    <t>ECO Baby Tiny</t>
  </si>
  <si>
    <t>Tiny Cheer</t>
  </si>
  <si>
    <t>ECO Tiny</t>
  </si>
  <si>
    <t>Formula</t>
  </si>
  <si>
    <t>Flame Burst</t>
  </si>
  <si>
    <t>Sacred Flame Dragon, Formula</t>
  </si>
  <si>
    <t>Magic Circle of Flame</t>
  </si>
  <si>
    <t>Shaitan</t>
  </si>
  <si>
    <t>Grace of Fire</t>
  </si>
  <si>
    <t>Blazing Field</t>
  </si>
  <si>
    <t>Shaitan, the Flame Elemental</t>
  </si>
  <si>
    <t>21,3,22</t>
  </si>
  <si>
    <t>Undine</t>
  </si>
  <si>
    <t>Grace of Water</t>
  </si>
  <si>
    <t>Water Rapids Field</t>
  </si>
  <si>
    <t>Undine, the Water Elemental</t>
  </si>
  <si>
    <t>21,3,23</t>
  </si>
  <si>
    <t>Sylph</t>
  </si>
  <si>
    <t>Grace of Wind</t>
  </si>
  <si>
    <t>Earth Field</t>
  </si>
  <si>
    <t>Sylph, the Wind Elemental</t>
  </si>
  <si>
    <t>21,3,24</t>
  </si>
  <si>
    <t>Genie</t>
  </si>
  <si>
    <t>Grace of Light</t>
  </si>
  <si>
    <t>Flashing Field</t>
  </si>
  <si>
    <t>Genie, the Light Elemental</t>
  </si>
  <si>
    <t>21,3,25</t>
  </si>
  <si>
    <t>Thanatos</t>
  </si>
  <si>
    <t>Grace of Darkness</t>
  </si>
  <si>
    <t>Shadow Field</t>
  </si>
  <si>
    <t>Thanatos, the Dark Elemental</t>
  </si>
  <si>
    <t>21,3,26</t>
  </si>
  <si>
    <t>Odin</t>
  </si>
  <si>
    <t>Robe of Protection</t>
  </si>
  <si>
    <t>Gungnir</t>
  </si>
  <si>
    <t>Awoken Odin</t>
  </si>
  <si>
    <t>21,10,10,21,9</t>
  </si>
  <si>
    <t>Odin, the War Deity</t>
  </si>
  <si>
    <t>Rune of Fate</t>
  </si>
  <si>
    <t>Awoken Deity Odin</t>
  </si>
  <si>
    <t>21,23,23,21,21,23</t>
  </si>
  <si>
    <t>Grace of Mimir</t>
  </si>
  <si>
    <t>Plan</t>
  </si>
  <si>
    <t>Freeze Burst</t>
  </si>
  <si>
    <t>Awoken Plan</t>
  </si>
  <si>
    <t>Dragon Princess' Prayer</t>
  </si>
  <si>
    <t>Freyr</t>
  </si>
  <si>
    <t>Flame Enhancement</t>
  </si>
  <si>
    <t>Freyr, the God of Victory</t>
  </si>
  <si>
    <t>Spirit of Flame</t>
  </si>
  <si>
    <t>Idunn&amp;Idunna</t>
  </si>
  <si>
    <t>Water Enhancement</t>
  </si>
  <si>
    <t>Idunn&amp;Idunna, Twin Goddesses</t>
  </si>
  <si>
    <t>Spirit of Ice</t>
  </si>
  <si>
    <t>Freyja</t>
  </si>
  <si>
    <t>Earth Enhancement</t>
  </si>
  <si>
    <t>Freyja, the Goddess of Gaia</t>
  </si>
  <si>
    <t>Spirit of the Big Tree</t>
  </si>
  <si>
    <t>Thor</t>
  </si>
  <si>
    <t>Spirit of Light</t>
  </si>
  <si>
    <t>Light Enhancement</t>
  </si>
  <si>
    <t>Thor, the God of Lightning</t>
  </si>
  <si>
    <t>Spirit of Lightning</t>
  </si>
  <si>
    <t>Loki</t>
  </si>
  <si>
    <t>Spirit of Darkness</t>
  </si>
  <si>
    <t>Dark Enhancement</t>
  </si>
  <si>
    <t>Loki, the God of Guile</t>
  </si>
  <si>
    <t>Spirit of Evil</t>
  </si>
  <si>
    <t>Dino Rider</t>
  </si>
  <si>
    <t>Offensive Formation</t>
  </si>
  <si>
    <t>Fire&amp;Wood Orbs Change</t>
  </si>
  <si>
    <t>Dino Rider Drake</t>
  </si>
  <si>
    <t>22,2,24</t>
  </si>
  <si>
    <t>Cut off the Retreat</t>
  </si>
  <si>
    <t>Beast Rider</t>
  </si>
  <si>
    <t>Fire&amp;Water Orbs Change</t>
  </si>
  <si>
    <t>Beast Rider Merlin</t>
  </si>
  <si>
    <t>23,2,22</t>
  </si>
  <si>
    <t>Marine Rider</t>
  </si>
  <si>
    <t>Water&amp;Wood Orbs Change</t>
  </si>
  <si>
    <t>Marine Rider Robin</t>
  </si>
  <si>
    <t>24,2,23</t>
  </si>
  <si>
    <t>Dragon Rider</t>
  </si>
  <si>
    <t>Light&amp;Dark Orbs Change</t>
  </si>
  <si>
    <t>Dragon Rider Arthur</t>
  </si>
  <si>
    <t>25,2,26</t>
  </si>
  <si>
    <t>Gryps Rider</t>
  </si>
  <si>
    <t>Dark&amp;Light Orbs Change</t>
  </si>
  <si>
    <t>Gryps Rider Finn</t>
  </si>
  <si>
    <t>26,2,25</t>
  </si>
  <si>
    <t>Godly Wall of Sunlight</t>
  </si>
  <si>
    <t>Godly Wall of Evil Flame</t>
  </si>
  <si>
    <t>Godly Wall of Holy Ocean</t>
  </si>
  <si>
    <t>Godly Wall of Demonic Ice</t>
  </si>
  <si>
    <t>Godly Wall of Holy Forest</t>
  </si>
  <si>
    <t>Godly Wall of Cursed Flowers</t>
  </si>
  <si>
    <t>Protection of Hyperion</t>
  </si>
  <si>
    <t>Godly Wall of Holy Evil</t>
  </si>
  <si>
    <t>Underlord Arch Hades</t>
  </si>
  <si>
    <t>Godly Wall of Light &amp; Dark</t>
  </si>
  <si>
    <t>Underlord Inferno Hades</t>
  </si>
  <si>
    <t>Protection of Thanatos</t>
  </si>
  <si>
    <t>Phoenix</t>
  </si>
  <si>
    <t>Enhanced Fire Orbs</t>
  </si>
  <si>
    <t>Phoenix Resurrected</t>
  </si>
  <si>
    <t>9,21,22</t>
  </si>
  <si>
    <t>Kraken</t>
  </si>
  <si>
    <t>Enhanced Water Orbs</t>
  </si>
  <si>
    <t>Sea Devil Kraken</t>
  </si>
  <si>
    <t>11,21,23</t>
  </si>
  <si>
    <t>Griffin</t>
  </si>
  <si>
    <t>Enhanced Wood Orbs</t>
  </si>
  <si>
    <t>Griffin, the Hunter of Tempests</t>
  </si>
  <si>
    <t>10,21,24</t>
  </si>
  <si>
    <t>Unicorn</t>
  </si>
  <si>
    <t>Enhanced Light Orbs</t>
  </si>
  <si>
    <t>Unicorn, the Guardian of Saints</t>
  </si>
  <si>
    <t>12,21,25</t>
  </si>
  <si>
    <t>Cerberus</t>
  </si>
  <si>
    <t>Enhanced Dark Orbs</t>
  </si>
  <si>
    <t>Cerberus, the Guardian of Hell</t>
  </si>
  <si>
    <t>13,21,26</t>
  </si>
  <si>
    <t>Infernodragon Muspelheim</t>
  </si>
  <si>
    <t>God Magma Breath</t>
  </si>
  <si>
    <t>Glacialdragon Niflheim</t>
  </si>
  <si>
    <t>God Blizzard Breath</t>
  </si>
  <si>
    <t>Gaiadragon Yggdrasil</t>
  </si>
  <si>
    <t>God Gaia Breath</t>
  </si>
  <si>
    <t>Cyberdragon Valhalla</t>
  </si>
  <si>
    <t>God Holy Breath</t>
  </si>
  <si>
    <t>Viciousdragon Helheim</t>
  </si>
  <si>
    <t>God Hell Breath</t>
  </si>
  <si>
    <t>Blue Flamedragon Muspelheim</t>
  </si>
  <si>
    <t>Mitsuki</t>
  </si>
  <si>
    <t>Double Fire Guard</t>
  </si>
  <si>
    <t>Fire Courier Mitsuki</t>
  </si>
  <si>
    <t>Gifts from the Land</t>
  </si>
  <si>
    <t>Mitsuki, the Flame Fox</t>
  </si>
  <si>
    <t>1,9,20</t>
  </si>
  <si>
    <t>Mercy of the Stars</t>
  </si>
  <si>
    <t>Ruka</t>
  </si>
  <si>
    <t>Double Water Guard</t>
  </si>
  <si>
    <t>Water Courier Ruka</t>
  </si>
  <si>
    <t>Ruka, the Lady of the Sea</t>
  </si>
  <si>
    <t>Kano</t>
  </si>
  <si>
    <t>Double Wood Guard</t>
  </si>
  <si>
    <t>Wind Courier Kano</t>
  </si>
  <si>
    <t>Kano, the Daughter of Nature</t>
  </si>
  <si>
    <t>Fuu</t>
  </si>
  <si>
    <t>Double Light Guard</t>
  </si>
  <si>
    <t>Light Courier Fuu</t>
  </si>
  <si>
    <t>Fuu, the Dancer in the Grasses</t>
  </si>
  <si>
    <t>Kurone</t>
  </si>
  <si>
    <t>Double Dark Guard</t>
  </si>
  <si>
    <t>Dark Courier Kurone</t>
  </si>
  <si>
    <t>Kurone, the Feline of the Night</t>
  </si>
  <si>
    <t>Queen Metal Dragon</t>
  </si>
  <si>
    <t>Queen Gold Dragon</t>
  </si>
  <si>
    <t>Shimonita Leek</t>
  </si>
  <si>
    <t>Super Shimonita Leek</t>
  </si>
  <si>
    <t>Shimonita Konjac</t>
  </si>
  <si>
    <t>Super Shimonita Konjac</t>
  </si>
  <si>
    <t>Tsumagoi Cabbage</t>
  </si>
  <si>
    <t>Super Tsumagoi Cabbage</t>
  </si>
  <si>
    <t>Daruma</t>
  </si>
  <si>
    <t>Super Daruma</t>
  </si>
  <si>
    <t>Gunma</t>
  </si>
  <si>
    <t>Gunma's Ambition</t>
  </si>
  <si>
    <t>Hot Spring of Kusatsu</t>
  </si>
  <si>
    <t>Super Gunma</t>
  </si>
  <si>
    <t>Fertile Energy</t>
  </si>
  <si>
    <t>Blaze Ball</t>
  </si>
  <si>
    <t>Splash Ball</t>
  </si>
  <si>
    <t>Plant Ball</t>
  </si>
  <si>
    <t>Plasma Ball</t>
  </si>
  <si>
    <t>Curse Ball</t>
  </si>
  <si>
    <t>Chocobo</t>
  </si>
  <si>
    <t>27,17</t>
  </si>
  <si>
    <t>Choco Barrier</t>
  </si>
  <si>
    <t>Choco Attack</t>
  </si>
  <si>
    <t>Dragoon</t>
  </si>
  <si>
    <t>Jump</t>
  </si>
  <si>
    <t>Ultimate Dragoon</t>
  </si>
  <si>
    <t>23,23,21</t>
  </si>
  <si>
    <t>Dragon Soul</t>
  </si>
  <si>
    <t>Berserker</t>
  </si>
  <si>
    <t>Smite of Rage</t>
  </si>
  <si>
    <t>Ultimate Berserker</t>
  </si>
  <si>
    <t>22,21,21</t>
  </si>
  <si>
    <t>Critical: Berserk</t>
  </si>
  <si>
    <t>Archer</t>
  </si>
  <si>
    <t>Boost</t>
  </si>
  <si>
    <t>Ultimate Archer</t>
  </si>
  <si>
    <t>16,1,24</t>
  </si>
  <si>
    <t>Concentrate</t>
  </si>
  <si>
    <t>Soldier</t>
  </si>
  <si>
    <t>Libra</t>
  </si>
  <si>
    <t>Ultimate Soldier</t>
  </si>
  <si>
    <t>17,11,10</t>
  </si>
  <si>
    <t>First Aid</t>
  </si>
  <si>
    <t>Black Mage</t>
  </si>
  <si>
    <t>Blizzaga</t>
  </si>
  <si>
    <t>Ultimate Black Mage</t>
  </si>
  <si>
    <t>26,21,23</t>
  </si>
  <si>
    <t>Attribute Enhancement</t>
  </si>
  <si>
    <t>Time Mage</t>
  </si>
  <si>
    <t>Hastega</t>
  </si>
  <si>
    <t>Slow</t>
  </si>
  <si>
    <t>Ultimate Time Mage</t>
  </si>
  <si>
    <t>7,7,19</t>
  </si>
  <si>
    <t>Thief</t>
  </si>
  <si>
    <t>Steal Coins</t>
  </si>
  <si>
    <t>Evasion</t>
  </si>
  <si>
    <t>Ultimate Thief</t>
  </si>
  <si>
    <t>27,16,10</t>
  </si>
  <si>
    <t>Behemoth</t>
  </si>
  <si>
    <t>Shield Break</t>
  </si>
  <si>
    <t>Reaver</t>
  </si>
  <si>
    <t>2,22</t>
  </si>
  <si>
    <t>Counter</t>
  </si>
  <si>
    <t>Malboro</t>
  </si>
  <si>
    <t>Bad Breath</t>
  </si>
  <si>
    <t>Malboro King</t>
  </si>
  <si>
    <t>Malboro Song</t>
  </si>
  <si>
    <t>Tonberry</t>
  </si>
  <si>
    <t>Butcher Knife</t>
  </si>
  <si>
    <t>Tonberry King</t>
  </si>
  <si>
    <t>2,23</t>
  </si>
  <si>
    <t>Karma</t>
  </si>
  <si>
    <t>Bahamut</t>
  </si>
  <si>
    <t>Mega Flare</t>
  </si>
  <si>
    <t>Ultimate Bahamut</t>
  </si>
  <si>
    <t>18,14</t>
  </si>
  <si>
    <t>Dragon King's Pride</t>
  </si>
  <si>
    <t>Red Crystal</t>
  </si>
  <si>
    <t>Blue Crystal</t>
  </si>
  <si>
    <t>Green Crystal</t>
  </si>
  <si>
    <t>Yellow Crystal</t>
  </si>
  <si>
    <t>Purple Crystal</t>
  </si>
  <si>
    <t>Rainbow Crystal</t>
  </si>
  <si>
    <t>Hellfire Pyro Demon</t>
  </si>
  <si>
    <t>14,22</t>
  </si>
  <si>
    <t>Devil's Army</t>
  </si>
  <si>
    <t>Hellice Frost Demon</t>
  </si>
  <si>
    <t>15,23</t>
  </si>
  <si>
    <t>Hellwind Taur Demon</t>
  </si>
  <si>
    <t>16,24</t>
  </si>
  <si>
    <t>Hellray Harpie Demon</t>
  </si>
  <si>
    <t>17,25</t>
  </si>
  <si>
    <t>Helldark Blood Demon</t>
  </si>
  <si>
    <t>18,26</t>
  </si>
  <si>
    <t>Firedragon Grand Tyrannos</t>
  </si>
  <si>
    <t>Power of Firedragon</t>
  </si>
  <si>
    <t>Icedragon Depth Plesios</t>
  </si>
  <si>
    <t>Power of Icedragon</t>
  </si>
  <si>
    <t>Flowerdragon Gaia Brachys</t>
  </si>
  <si>
    <t>Power of Flowerdragon</t>
  </si>
  <si>
    <t>Sundragon Sol Pterados</t>
  </si>
  <si>
    <t>Power of Sundragon</t>
  </si>
  <si>
    <t>Moondragon Lunar D'spinas</t>
  </si>
  <si>
    <t>Power of Moondragon</t>
  </si>
  <si>
    <t>Gamble Mage</t>
  </si>
  <si>
    <t>Shuffle Shot</t>
  </si>
  <si>
    <t>Daredevil of Dark, Gamble Mage</t>
  </si>
  <si>
    <t>Burst Seven</t>
  </si>
  <si>
    <t>Chrono Turtle</t>
  </si>
  <si>
    <t>Time's Coiled Spring</t>
  </si>
  <si>
    <t>Missionary of Time, Chrono Turtle</t>
  </si>
  <si>
    <t>Ancient Turtle's Shell</t>
  </si>
  <si>
    <t>Horus</t>
  </si>
  <si>
    <t>Flame Falcon's Rush</t>
  </si>
  <si>
    <t>4,5,6</t>
  </si>
  <si>
    <t>Isis</t>
  </si>
  <si>
    <t>Grace of the Nile</t>
  </si>
  <si>
    <t>Quick Heal</t>
  </si>
  <si>
    <t>Feline Combination</t>
  </si>
  <si>
    <t>Spread Cats</t>
  </si>
  <si>
    <t>Ra</t>
  </si>
  <si>
    <t>Ray of the Sun</t>
  </si>
  <si>
    <t>Solar Lazer</t>
  </si>
  <si>
    <t>Sun Deity Ra</t>
  </si>
  <si>
    <t>Anubis</t>
  </si>
  <si>
    <t>Roar of the Hell Jackal</t>
  </si>
  <si>
    <t>Curse of the Darkness</t>
  </si>
  <si>
    <t>Princess Punt</t>
  </si>
  <si>
    <t>Princess' Selfish Order</t>
  </si>
  <si>
    <t>Sweet Shoot</t>
  </si>
  <si>
    <t>Anne Punt Quettebuss</t>
  </si>
  <si>
    <t>Princess' Selfish Love</t>
  </si>
  <si>
    <t>Dinocorn</t>
  </si>
  <si>
    <t>Dinocorn King</t>
  </si>
  <si>
    <t>King's Bite</t>
  </si>
  <si>
    <t>Baby Seal</t>
  </si>
  <si>
    <t>Mr. Walrus</t>
  </si>
  <si>
    <t>Bouncy Body</t>
  </si>
  <si>
    <t>Jelly's Angel</t>
  </si>
  <si>
    <t>The Jelly's Angels</t>
  </si>
  <si>
    <t>Angel's Song</t>
  </si>
  <si>
    <t>Balloon Penguin</t>
  </si>
  <si>
    <t>Kite Penguin</t>
  </si>
  <si>
    <t>Counter Bomb</t>
  </si>
  <si>
    <t>Goggler</t>
  </si>
  <si>
    <t>Devil Eye</t>
  </si>
  <si>
    <t>Devil's Field</t>
  </si>
  <si>
    <t>Red Giant Gigas</t>
  </si>
  <si>
    <t>1,14,2</t>
  </si>
  <si>
    <t>King Siegfried, Blue Champion</t>
  </si>
  <si>
    <t>1,15,2</t>
  </si>
  <si>
    <t>More Cu Chulainn, the Hero</t>
  </si>
  <si>
    <t>1,16,2</t>
  </si>
  <si>
    <t>Princess Valkyrie</t>
  </si>
  <si>
    <t>1,17,2</t>
  </si>
  <si>
    <t>Duke Vampire Lord</t>
  </si>
  <si>
    <t>1,18,2</t>
  </si>
  <si>
    <t>Present Egg (Fire)</t>
  </si>
  <si>
    <t>Present Egg (Water)</t>
  </si>
  <si>
    <t>Present Egg (Wood)</t>
  </si>
  <si>
    <t>Snow Globe Dragon Rouge</t>
  </si>
  <si>
    <t>Prayer in Holy Night-Fr</t>
  </si>
  <si>
    <t>Flame Gift</t>
  </si>
  <si>
    <t>Snow Globe Dragon Bleu</t>
  </si>
  <si>
    <t>Prayer in Holy Night-Wt</t>
  </si>
  <si>
    <t>Ice Gift</t>
  </si>
  <si>
    <t>Snow Globe Dragon Vert</t>
  </si>
  <si>
    <t>Prayer in Holy Night-Wd</t>
  </si>
  <si>
    <t>Plant Gift</t>
  </si>
  <si>
    <t>Red Moltdra</t>
  </si>
  <si>
    <t>Blue Moltdra</t>
  </si>
  <si>
    <t>Green Moltdra</t>
  </si>
  <si>
    <t>Ranger</t>
  </si>
  <si>
    <t>Sidewinder</t>
  </si>
  <si>
    <t>Ultimate Ranger</t>
  </si>
  <si>
    <t>14,2,1</t>
  </si>
  <si>
    <t>Hunter Combo</t>
  </si>
  <si>
    <t>Puppetmaster</t>
  </si>
  <si>
    <t>Rainbow Magnet</t>
  </si>
  <si>
    <t>Ultimate Puppetmaster</t>
  </si>
  <si>
    <t>9,20,21</t>
  </si>
  <si>
    <t>Regenerator</t>
  </si>
  <si>
    <t>Fencer</t>
  </si>
  <si>
    <t>Forsake</t>
  </si>
  <si>
    <t>Ultimate Fencer</t>
  </si>
  <si>
    <t>18,26,21</t>
  </si>
  <si>
    <t>Rushing Combo</t>
  </si>
  <si>
    <t>Ranger Santa</t>
  </si>
  <si>
    <t>Ultimate Ranger Santa</t>
  </si>
  <si>
    <t>14,2,19</t>
  </si>
  <si>
    <t>Puppetmaster Santa</t>
  </si>
  <si>
    <t>Ultimate Puppetmaster Santa</t>
  </si>
  <si>
    <t>9,20,21,21</t>
  </si>
  <si>
    <t>Fencer Santa</t>
  </si>
  <si>
    <t>Ultimate Fencer Santa</t>
  </si>
  <si>
    <t>26,26,21</t>
  </si>
  <si>
    <t>Alex Santa</t>
  </si>
  <si>
    <t>Judgement in Holy Night</t>
  </si>
  <si>
    <t>Ultimate Alex Santa</t>
  </si>
  <si>
    <t>1,1</t>
  </si>
  <si>
    <t>Castle of Armors</t>
  </si>
  <si>
    <t>Shingen's Fire Emblem</t>
  </si>
  <si>
    <t>Flame Wind</t>
  </si>
  <si>
    <t>Kenshin's Water Emblem</t>
  </si>
  <si>
    <t>Ice Wind</t>
  </si>
  <si>
    <t>Masamune's Wood Emblem</t>
  </si>
  <si>
    <t>Gaia Wind</t>
  </si>
  <si>
    <t>Hideyoshi's Light Emblem</t>
  </si>
  <si>
    <t>Lightning Wind</t>
  </si>
  <si>
    <t>Nobunaga's Dark Emblem</t>
  </si>
  <si>
    <t>Evil Wind</t>
  </si>
  <si>
    <t>Low Fire Ninja</t>
  </si>
  <si>
    <t>Ninja Art Shadow Tag</t>
  </si>
  <si>
    <t>Mid Fire Ninja</t>
  </si>
  <si>
    <t>Ninja's Stealth Walk</t>
  </si>
  <si>
    <t>Low Water Ninja</t>
  </si>
  <si>
    <t>Mid Water Ninja</t>
  </si>
  <si>
    <t>Low Wood Ninja</t>
  </si>
  <si>
    <t>Mid Wood Ninja</t>
  </si>
  <si>
    <t>Low Light Ninja</t>
  </si>
  <si>
    <t>Mid Light Ninja</t>
  </si>
  <si>
    <t>Low Dark Ninja</t>
  </si>
  <si>
    <t>Mid Dark Ninja</t>
  </si>
  <si>
    <t>Mochizuki Chiyome</t>
  </si>
  <si>
    <t>Shrine Maiden's Rule</t>
  </si>
  <si>
    <t>Ninja Art Lt to Fr</t>
  </si>
  <si>
    <t>27,22,21</t>
  </si>
  <si>
    <t>Shrine Maiden's Secret</t>
  </si>
  <si>
    <t>Hatsume no Tsubone</t>
  </si>
  <si>
    <t>Ninja's Breathing Rule</t>
  </si>
  <si>
    <t>Ninja Art Dk to Wt</t>
  </si>
  <si>
    <t>27,23,21</t>
  </si>
  <si>
    <t>Ninja's Breathing Secret</t>
  </si>
  <si>
    <t>Sarutobi Sasuke</t>
  </si>
  <si>
    <t>Ninja's Fighting Rule</t>
  </si>
  <si>
    <t>Ninja Art Wt to Wd</t>
  </si>
  <si>
    <t>27,24,21</t>
  </si>
  <si>
    <t>Ninja's Fighting Secret</t>
  </si>
  <si>
    <t>Fuma Kotaro</t>
  </si>
  <si>
    <t>Ninja's Training Rule</t>
  </si>
  <si>
    <t>Ninja Art Wd to Lt</t>
  </si>
  <si>
    <t>27,25,21</t>
  </si>
  <si>
    <t>Ninja's Training Secret</t>
  </si>
  <si>
    <t>Hattori Hanzo</t>
  </si>
  <si>
    <t>Ninja's Moving Rule</t>
  </si>
  <si>
    <t>Ninja Art Fr to Dk</t>
  </si>
  <si>
    <t>27,26,21</t>
  </si>
  <si>
    <t>Ninja's Moving Secret</t>
  </si>
  <si>
    <t>Ishikawa Goemon</t>
  </si>
  <si>
    <t>Pose of Sky and Land</t>
  </si>
  <si>
    <t>Ninja Art Fireworks</t>
  </si>
  <si>
    <t>Goemon, the Thief</t>
  </si>
  <si>
    <t>11,11,14</t>
  </si>
  <si>
    <t>Ares</t>
  </si>
  <si>
    <t>Double Attack Stance-Fr</t>
  </si>
  <si>
    <t>War Deity Ares</t>
  </si>
  <si>
    <t>Grace of the War Deity</t>
  </si>
  <si>
    <t>Hermes</t>
  </si>
  <si>
    <t>Double Attack Stance-Wt</t>
  </si>
  <si>
    <t>Commerce Deity Hermes</t>
  </si>
  <si>
    <t>Grace of the Commerce Deity</t>
  </si>
  <si>
    <t>Artemis</t>
  </si>
  <si>
    <t>Double Attack Stance-Wd</t>
  </si>
  <si>
    <t>Hunting Deity Artemis</t>
  </si>
  <si>
    <t>Grace of the Hunt Deity</t>
  </si>
  <si>
    <t>Apollo</t>
  </si>
  <si>
    <t>Double Attack Stance-Lt</t>
  </si>
  <si>
    <t>Solar Deity Apollo</t>
  </si>
  <si>
    <t>Spirit of Flash</t>
  </si>
  <si>
    <t>Persephone</t>
  </si>
  <si>
    <t>Double Attack Stance-Dk</t>
  </si>
  <si>
    <t>Hell Queen Persephone</t>
  </si>
  <si>
    <t>Spirit of Hell</t>
  </si>
  <si>
    <t>Gold Moltdra</t>
  </si>
  <si>
    <t>Black Moltdra</t>
  </si>
  <si>
    <t>Will-O'-Wisp</t>
  </si>
  <si>
    <t>Flame Spirit Will-O'-Wisp</t>
  </si>
  <si>
    <t>Fire Oath</t>
  </si>
  <si>
    <t>Kelpie</t>
  </si>
  <si>
    <t>Water Horse Kelpie</t>
  </si>
  <si>
    <t>Water Oath</t>
  </si>
  <si>
    <t>Treant</t>
  </si>
  <si>
    <t>Wood Sage Treant</t>
  </si>
  <si>
    <t>Wind Oath</t>
  </si>
  <si>
    <t>Pixie</t>
  </si>
  <si>
    <t>Light Sprite Pixie</t>
  </si>
  <si>
    <t>Light Oath</t>
  </si>
  <si>
    <t>Thunder Strike</t>
  </si>
  <si>
    <t>Werewolf</t>
  </si>
  <si>
    <t>Midnight Beast Werewolf</t>
  </si>
  <si>
    <t>Dark Oath</t>
  </si>
  <si>
    <t>Dark Strike</t>
  </si>
  <si>
    <t>Moogle&amp;Carbuncle</t>
  </si>
  <si>
    <t>Healing Dance</t>
  </si>
  <si>
    <t>Ultimate Moogle&amp;Carbuncle</t>
  </si>
  <si>
    <t>1,9</t>
  </si>
  <si>
    <t>Ray of Crystal</t>
  </si>
  <si>
    <t>Angeling</t>
  </si>
  <si>
    <t>Archangeling</t>
  </si>
  <si>
    <t>Deviling</t>
  </si>
  <si>
    <t>Hera-Is</t>
  </si>
  <si>
    <t>Power of Pitch-Black</t>
  </si>
  <si>
    <t>Awoken Hera-Is</t>
  </si>
  <si>
    <t>5,15,2</t>
  </si>
  <si>
    <t>Hera-Ur</t>
  </si>
  <si>
    <t>Awoken Hera-Ur</t>
  </si>
  <si>
    <t>4,14,2</t>
  </si>
  <si>
    <t>Shiny Pengdra</t>
  </si>
  <si>
    <t>Topaz Pengdra</t>
  </si>
  <si>
    <t>Dark Pengdra</t>
  </si>
  <si>
    <t>Amethyst Pengdra</t>
  </si>
  <si>
    <t>27,21</t>
  </si>
  <si>
    <t>Go-go Dance</t>
  </si>
  <si>
    <t>4,14</t>
  </si>
  <si>
    <t>5,15</t>
  </si>
  <si>
    <t>6,16</t>
  </si>
  <si>
    <t>7,17</t>
  </si>
  <si>
    <t>8,18</t>
  </si>
  <si>
    <t>Super King Ruby Dragon</t>
  </si>
  <si>
    <t>Super King Sapphire Dragon</t>
  </si>
  <si>
    <t>Super King Emerald Dragon</t>
  </si>
  <si>
    <t>Archangel Uriel</t>
  </si>
  <si>
    <t>Miracle of Fire</t>
  </si>
  <si>
    <t>Fire Dominion Uriel</t>
  </si>
  <si>
    <t>Flame Oracle</t>
  </si>
  <si>
    <t>Archangel Gabriel</t>
  </si>
  <si>
    <t>Miracle of Ice</t>
  </si>
  <si>
    <t>Water Dominion Gabriel</t>
  </si>
  <si>
    <t>Water Oracle</t>
  </si>
  <si>
    <t>Archangel Michael</t>
  </si>
  <si>
    <t>Miracle of Wood</t>
  </si>
  <si>
    <t>Wood Dominion Michael</t>
  </si>
  <si>
    <t>Wind Oracle</t>
  </si>
  <si>
    <t>Archangel Raphael</t>
  </si>
  <si>
    <t>Miracle of Healing</t>
  </si>
  <si>
    <t>Light Dominion Raphael</t>
  </si>
  <si>
    <t>Lightning Oracle</t>
  </si>
  <si>
    <t>Archangel Lucifer</t>
  </si>
  <si>
    <t>The Morning Star</t>
  </si>
  <si>
    <t>Seraph of Dawn Lucifer</t>
  </si>
  <si>
    <t>Dark Oracle</t>
  </si>
  <si>
    <t>Belial</t>
  </si>
  <si>
    <t>Devil's Power</t>
  </si>
  <si>
    <t>Curse of the Flame</t>
  </si>
  <si>
    <t>Flame Archdemon Belial</t>
  </si>
  <si>
    <t>Demon's Power</t>
  </si>
  <si>
    <t>Amon</t>
  </si>
  <si>
    <t>Devil's Soul</t>
  </si>
  <si>
    <t>Curse of the Ice</t>
  </si>
  <si>
    <t>Blizzard Archdemon Amon</t>
  </si>
  <si>
    <t>Demon's Soul</t>
  </si>
  <si>
    <t>Astaroth</t>
  </si>
  <si>
    <t>Devil's Grace</t>
  </si>
  <si>
    <t>Curse of the Tree</t>
  </si>
  <si>
    <t>Wind Archdemon Astaroth</t>
  </si>
  <si>
    <t>Demon's Grace</t>
  </si>
  <si>
    <t>Baal</t>
  </si>
  <si>
    <t>Godspeed Offense</t>
  </si>
  <si>
    <t>Curse of the Lightning</t>
  </si>
  <si>
    <t>Lightning Archdemon Baal</t>
  </si>
  <si>
    <t>Fallen Angel Lucifer</t>
  </si>
  <si>
    <t>Evil Nova</t>
  </si>
  <si>
    <t>Dark Archdemon Lucifer</t>
  </si>
  <si>
    <t>Archdemon's Soul</t>
  </si>
  <si>
    <t>Archangel Metatron</t>
  </si>
  <si>
    <t>Crusader's Charge</t>
  </si>
  <si>
    <t>Quick Cure</t>
  </si>
  <si>
    <t>Voice of God, Metatron</t>
  </si>
  <si>
    <t>9,10,10,20,21</t>
  </si>
  <si>
    <t>Dark Angel Metatron</t>
  </si>
  <si>
    <t>Executioner Blitz</t>
  </si>
  <si>
    <t>Breath of the Demon God</t>
  </si>
  <si>
    <t>Hand of the Dark God, Metatron</t>
  </si>
  <si>
    <t>26,21,26,10,10,21</t>
  </si>
  <si>
    <t>Beelzebub</t>
  </si>
  <si>
    <t>Dark Prince's Command</t>
  </si>
  <si>
    <t>Deadly Drive</t>
  </si>
  <si>
    <t>Archdemon Beelzebub</t>
  </si>
  <si>
    <t>18,11,15</t>
  </si>
  <si>
    <t>Dark Prince's Edict</t>
  </si>
  <si>
    <t>Satan</t>
  </si>
  <si>
    <t>Satan's Insight</t>
  </si>
  <si>
    <t>World's End</t>
  </si>
  <si>
    <t>Satan, King of the Underworld</t>
  </si>
  <si>
    <t>26,26,26</t>
  </si>
  <si>
    <t>Athena</t>
  </si>
  <si>
    <t>Blessing of Nike</t>
  </si>
  <si>
    <t>Glitter of Aegis</t>
  </si>
  <si>
    <t>Awoken Athena</t>
  </si>
  <si>
    <t>11,27,11</t>
  </si>
  <si>
    <t>Zeus-Dios</t>
  </si>
  <si>
    <t>Power of Dios</t>
  </si>
  <si>
    <t>Jupiter Genesis</t>
  </si>
  <si>
    <t>Awoken Zeus-Dios</t>
  </si>
  <si>
    <t>1,3,21</t>
  </si>
  <si>
    <t>Freyr, the Blazing Swordsman</t>
  </si>
  <si>
    <t>Guidance of the Victory Sword</t>
  </si>
  <si>
    <t>Idunn&amp;Idunna, the Twin Archers</t>
  </si>
  <si>
    <t>Grace of the Golden Apple</t>
  </si>
  <si>
    <t>Freyja, the Fertility Goddess</t>
  </si>
  <si>
    <t>Grace of Brisingamen</t>
  </si>
  <si>
    <t>Thor, the Wielder of Mjolnir</t>
  </si>
  <si>
    <t>Benefit of Megingjard</t>
  </si>
  <si>
    <t>Loki, the Finisher</t>
  </si>
  <si>
    <t>Stratagem of the Trickster</t>
  </si>
  <si>
    <t>Holy Thunderdragon Indra</t>
  </si>
  <si>
    <t>Grace of the Lightning Dragon</t>
  </si>
  <si>
    <t>Evil Darkdragon Vritra</t>
  </si>
  <si>
    <t>Rage of the Black Dragon</t>
  </si>
  <si>
    <t>Puzzdroid</t>
  </si>
  <si>
    <t>Metallic Body</t>
  </si>
  <si>
    <t>Droidragon</t>
  </si>
  <si>
    <t>Droidance</t>
  </si>
  <si>
    <t>Chaos Blizzard Dragon</t>
  </si>
  <si>
    <t>Cathy Crazy</t>
  </si>
  <si>
    <t>Unreasonable Anger</t>
  </si>
  <si>
    <t>Ukai Magoroku</t>
  </si>
  <si>
    <t>Ninja Art Shadow Clone</t>
  </si>
  <si>
    <t>ECO Tiny Alma</t>
  </si>
  <si>
    <t>ECO Dumpty</t>
  </si>
  <si>
    <t>Dumpty's Ale</t>
  </si>
  <si>
    <t>ECO Dumpty Alma</t>
  </si>
  <si>
    <t>2,27</t>
  </si>
  <si>
    <t>1,8</t>
  </si>
  <si>
    <t>13,2</t>
  </si>
  <si>
    <t>Manekimewdra</t>
  </si>
  <si>
    <t>Heavy Metal Dragon</t>
  </si>
  <si>
    <t>Dragon's Wrath</t>
  </si>
  <si>
    <t>Gravity Breath</t>
  </si>
  <si>
    <t>Dragon Lord Zaerog</t>
  </si>
  <si>
    <t>3,1,2</t>
  </si>
  <si>
    <t>King Flamie</t>
  </si>
  <si>
    <t>Attack Enhancement</t>
  </si>
  <si>
    <t>King Bubblie</t>
  </si>
  <si>
    <t>Muscle Enhancement</t>
  </si>
  <si>
    <t>King Woodsie</t>
  </si>
  <si>
    <t>Balanced Enhancement</t>
  </si>
  <si>
    <t>King Shynee</t>
  </si>
  <si>
    <t>3,3</t>
  </si>
  <si>
    <t>Recovery Enhancement</t>
  </si>
  <si>
    <t>King Baddie</t>
  </si>
  <si>
    <t>Devilish Enhancement</t>
  </si>
  <si>
    <t>Rowdy Red Samurai Goblin</t>
  </si>
  <si>
    <t>1,14</t>
  </si>
  <si>
    <t>Marine Spec Ops Goblin</t>
  </si>
  <si>
    <t>1,15</t>
  </si>
  <si>
    <t>Recovery Formation</t>
  </si>
  <si>
    <t>Heavy Infantry Hobgoblin</t>
  </si>
  <si>
    <t>1,16</t>
  </si>
  <si>
    <t>Defensive Formation</t>
  </si>
  <si>
    <t>Bloody Kaiser</t>
  </si>
  <si>
    <t>Noble Wolf King Hero, Cu Chulainn</t>
  </si>
  <si>
    <t>Light of Scathach</t>
  </si>
  <si>
    <t>Warrior Rose, Graceful Valkyrie</t>
  </si>
  <si>
    <t>Ride of the Valkyries</t>
  </si>
  <si>
    <t>Designated Specifications</t>
  </si>
  <si>
    <t>What are you, stupid?</t>
  </si>
  <si>
    <t>NERV Specifications</t>
  </si>
  <si>
    <t>I mustn't run away</t>
  </si>
  <si>
    <t>Local Specifications</t>
  </si>
  <si>
    <t>WILLE Custom</t>
  </si>
  <si>
    <t>Retrofit Specifications</t>
  </si>
  <si>
    <t>I will protect you</t>
  </si>
  <si>
    <t>Sacrament of SEELE</t>
  </si>
  <si>
    <t>The promised time has come</t>
  </si>
  <si>
    <t>Double Entry System</t>
  </si>
  <si>
    <t>A.T. Field</t>
  </si>
  <si>
    <t>Multi-layer A.T. Field</t>
  </si>
  <si>
    <t>Critical Rejection</t>
  </si>
  <si>
    <t>Neneko</t>
  </si>
  <si>
    <t>Hamahime</t>
  </si>
  <si>
    <t>Green Skydragon Elysium</t>
  </si>
  <si>
    <t>CoC Barbarian</t>
  </si>
  <si>
    <t>CoC Rage Barbarian</t>
  </si>
  <si>
    <t>CoC Archer</t>
  </si>
  <si>
    <t>CoC Flame Archer</t>
  </si>
  <si>
    <t>CoC Goblin</t>
  </si>
  <si>
    <t>CoC Forest Goblin</t>
  </si>
  <si>
    <t>CoC Healer</t>
  </si>
  <si>
    <t>CoC Glorious Healer</t>
  </si>
  <si>
    <t>CoC Dragon</t>
  </si>
  <si>
    <t>Fire Scale</t>
  </si>
  <si>
    <t>Crimson Bomb</t>
  </si>
  <si>
    <t>CoC Crimson Dragon</t>
  </si>
  <si>
    <t>CoC P.E.K.K.A</t>
  </si>
  <si>
    <t>Dark Armor</t>
  </si>
  <si>
    <t>Nightmare Sword</t>
  </si>
  <si>
    <t>CoC Nightmare P.E.K.K.A</t>
  </si>
  <si>
    <t>Red Chocobo&amp;Chocobo Knight</t>
  </si>
  <si>
    <t>27,14</t>
  </si>
  <si>
    <t>Choco Meteor</t>
  </si>
  <si>
    <t>Blue Chocobo&amp;Chocobo Knight</t>
  </si>
  <si>
    <t>27,15</t>
  </si>
  <si>
    <t>Choco Guard</t>
  </si>
  <si>
    <t>Green Chocobo&amp;Chocobo Knight</t>
  </si>
  <si>
    <t>27,16</t>
  </si>
  <si>
    <t>Choco Cure</t>
  </si>
  <si>
    <t>Moogle, Carbuncle &amp; Chocobo</t>
  </si>
  <si>
    <t>Healing Shout</t>
  </si>
  <si>
    <t>Malboro King&amp;Tonberry King</t>
  </si>
  <si>
    <t>13,21</t>
  </si>
  <si>
    <t>Scarlet Stone Dragon, Vermilionyt</t>
  </si>
  <si>
    <t>Barrier of Sunlight</t>
  </si>
  <si>
    <t>The Switch</t>
  </si>
  <si>
    <t>Blue Stone Dragon, Mythril</t>
  </si>
  <si>
    <t>Green Stone Dragon, Adamant</t>
  </si>
  <si>
    <t>Barrier of Cursed Flower</t>
  </si>
  <si>
    <t>Rainbow Stone Dragon, Orichalcum</t>
  </si>
  <si>
    <t>Barrier of Holy Ocean</t>
  </si>
  <si>
    <t>Purple Stone Dragon, Damascus</t>
  </si>
  <si>
    <t>Barrier of Evil Flame</t>
  </si>
  <si>
    <t>Draggie</t>
  </si>
  <si>
    <t>Draggie Enhance</t>
  </si>
  <si>
    <t>Draggie Knight</t>
  </si>
  <si>
    <t>Dragon Enhancement</t>
  </si>
  <si>
    <t>Ancient Draggie Knight</t>
  </si>
  <si>
    <t>1,2</t>
  </si>
  <si>
    <t>Incarnation of Suzaku, Leilan</t>
  </si>
  <si>
    <t>Dance of the Crimson Heaven</t>
  </si>
  <si>
    <t>Southern Seven-Star Formation</t>
  </si>
  <si>
    <t>Heavenly Guide Suzaku, Leilan</t>
  </si>
  <si>
    <t>Incarnation of Seiryuu, Karin</t>
  </si>
  <si>
    <t>Dance of the Rising Dragon</t>
  </si>
  <si>
    <t>Eastern Seven-Star Formation</t>
  </si>
  <si>
    <t>Guardian of Life Seiryuu, Karin</t>
  </si>
  <si>
    <t>Incarnation of Genbu, Meimei</t>
  </si>
  <si>
    <t>Dance of the Spirit Turtle</t>
  </si>
  <si>
    <t>Northern Seven-Star Formation</t>
  </si>
  <si>
    <t>Tortoise Mountain Genbu, Meimei</t>
  </si>
  <si>
    <t>Incarnation of Kirin, Sakuya</t>
  </si>
  <si>
    <t>Dance of the Four Origins</t>
  </si>
  <si>
    <t>Boisterous Dance</t>
  </si>
  <si>
    <t>Kirin of the Aurora, Sakuya</t>
  </si>
  <si>
    <t>Incarnation of Byakko, Haku</t>
  </si>
  <si>
    <t>Dance of the Tiger's Roar</t>
  </si>
  <si>
    <t>Western Seven-Star Formation</t>
  </si>
  <si>
    <t>Soul Guardian Byakko, Haku</t>
  </si>
  <si>
    <t>Red Dragon God, Hino Kagutsuchi</t>
  </si>
  <si>
    <t>Fire Serpent God, Hino Kagutsuchi</t>
  </si>
  <si>
    <t>Scorched Claw Dragon, Flare Drall</t>
  </si>
  <si>
    <t>Drilling Shark Dragon, Megalodran</t>
  </si>
  <si>
    <t>Horned Fort Dragon, Fortoytops</t>
  </si>
  <si>
    <t>Sacred Dragon Beast, Angelion</t>
  </si>
  <si>
    <t>Jester Dragon, Drawn Joker</t>
  </si>
  <si>
    <t>OCTOPUS</t>
  </si>
  <si>
    <t>Red Effect</t>
  </si>
  <si>
    <t>OCTOPUS Ver.2</t>
  </si>
  <si>
    <t>CRAB</t>
  </si>
  <si>
    <t>Blue Effect</t>
  </si>
  <si>
    <t>CRAB Ver.2</t>
  </si>
  <si>
    <t>SQUID</t>
  </si>
  <si>
    <t>Green Effect</t>
  </si>
  <si>
    <t>SQUID Ver.2</t>
  </si>
  <si>
    <t>GC CRAB</t>
  </si>
  <si>
    <t>Fired UP</t>
  </si>
  <si>
    <t>GROOVE COASTER</t>
  </si>
  <si>
    <t>GC CRAB Ver.2</t>
  </si>
  <si>
    <t>UFO</t>
  </si>
  <si>
    <t>NAGOYA Shot</t>
  </si>
  <si>
    <t>Secret Bonus</t>
  </si>
  <si>
    <t>UFO Ver.2</t>
  </si>
  <si>
    <t>Omega Red Skydragon, El Dorado</t>
  </si>
  <si>
    <t>Omega Blue Skydragon, Nirai Kanai</t>
  </si>
  <si>
    <t>Omega Wood Skydragon, Horai</t>
  </si>
  <si>
    <t>Omega Holy Skydragon, Shangri-La</t>
  </si>
  <si>
    <t>Omega Night Skydragon, Elysion</t>
  </si>
  <si>
    <t>Great Tengu</t>
  </si>
  <si>
    <t>Dance of the Great Tengu</t>
  </si>
  <si>
    <t>Twisted Mountain God, Grand Tengu</t>
  </si>
  <si>
    <t>21,21,21</t>
  </si>
  <si>
    <t>Kodama</t>
  </si>
  <si>
    <t>Incarnation of Kouryu, Fagan</t>
  </si>
  <si>
    <t>Celestial Pole Star Dragon Fist</t>
  </si>
  <si>
    <t>Kouryu the Star Emperor, Fagan</t>
  </si>
  <si>
    <t>Mystic Megalith Dragon, Baalbek</t>
  </si>
  <si>
    <t>Mystery of the Flaming Boulder</t>
  </si>
  <si>
    <t>Wisdom of the Ancients</t>
  </si>
  <si>
    <t>Mystic Mech Dragon, Antikythera</t>
  </si>
  <si>
    <t>Mysterious Dowsing Mechanism</t>
  </si>
  <si>
    <t>Mystic Painting Dragon, Nazca</t>
  </si>
  <si>
    <t>Mystery of Mother Earth</t>
  </si>
  <si>
    <t>Mystic Crystal Dragon, CrystalSkull</t>
  </si>
  <si>
    <t>Mystery of the Shining Skull</t>
  </si>
  <si>
    <t>Mystic Astro Dragon, Nebradisk</t>
  </si>
  <si>
    <t>Mystery of the Nebulous Disk</t>
  </si>
  <si>
    <t>Minotaur</t>
  </si>
  <si>
    <t>Beast of the Labyrinth, Minotaur</t>
  </si>
  <si>
    <t>Cockatrice</t>
  </si>
  <si>
    <t>Stone Gaze Demon Bird, Cockatrice</t>
  </si>
  <si>
    <t>Centaur</t>
  </si>
  <si>
    <t>Hominal Beast, Centaur</t>
  </si>
  <si>
    <t>Cyclops</t>
  </si>
  <si>
    <t>Thunder Giant, Cyclops</t>
  </si>
  <si>
    <t>Wicked Lady</t>
  </si>
  <si>
    <t>Charming Temptress, Wicked Lady</t>
  </si>
  <si>
    <t>TAMADRA</t>
  </si>
  <si>
    <t>Ame no Uzume</t>
  </si>
  <si>
    <t>Dance of Heavenly Worship</t>
  </si>
  <si>
    <t>Healing Cheer</t>
  </si>
  <si>
    <t>Goddess of the Art, Ame no Uzume</t>
  </si>
  <si>
    <t>Umisachi&amp;Yamasachi</t>
  </si>
  <si>
    <t>Great Treasure of Mountain and Sea</t>
  </si>
  <si>
    <t>Ritual of the Mountain and Sea</t>
  </si>
  <si>
    <t>Gods of Hunt, Umisachi&amp;Yamasachi</t>
  </si>
  <si>
    <t>Kushinadahime</t>
  </si>
  <si>
    <t>Protection of Divine Wisdom</t>
  </si>
  <si>
    <t>Goddess of Rice Fields, Kushinada</t>
  </si>
  <si>
    <t>Izanagi</t>
  </si>
  <si>
    <t>World of God's Intervention</t>
  </si>
  <si>
    <t>Breath of Creation</t>
  </si>
  <si>
    <t>Ancestor of the Gods, Izanagi</t>
  </si>
  <si>
    <t>Okuninushi</t>
  </si>
  <si>
    <t>Divine Connection</t>
  </si>
  <si>
    <t>Virtuous Foundation</t>
  </si>
  <si>
    <t>Founder of Nations, Okuninushi</t>
  </si>
  <si>
    <t>Takeminakata</t>
  </si>
  <si>
    <t>Vine of the Katana God</t>
  </si>
  <si>
    <t>Divine Wind of Creation Flame</t>
  </si>
  <si>
    <t>War God of Metal, Takeminakata</t>
  </si>
  <si>
    <t>3,14,21</t>
  </si>
  <si>
    <t>Empress God, Izanami</t>
  </si>
  <si>
    <t>The Holy Undertaking of Genesis</t>
  </si>
  <si>
    <t>Merciful Protection</t>
  </si>
  <si>
    <t>Empress of Creation, Izanami</t>
  </si>
  <si>
    <t>17,7,9</t>
  </si>
  <si>
    <t>Yomi God, Izanami</t>
  </si>
  <si>
    <t>Yomi's Commandment</t>
  </si>
  <si>
    <t>The Feathered Garment of Yomi</t>
  </si>
  <si>
    <t>Yomi Mistress, Izanami</t>
  </si>
  <si>
    <t>18,8,9</t>
  </si>
  <si>
    <t>2,1</t>
  </si>
  <si>
    <t>4,1</t>
  </si>
  <si>
    <t>15,16,3</t>
  </si>
  <si>
    <t>Soul Flame of the Phoenix</t>
  </si>
  <si>
    <t>Shining Fangs of the Fenrir</t>
  </si>
  <si>
    <t>Fury of the Dragon Knight</t>
  </si>
  <si>
    <t>Divine Revelation</t>
  </si>
  <si>
    <t>Dragon Knight's Resolve</t>
  </si>
  <si>
    <t>Shugen Demon, Shouki</t>
  </si>
  <si>
    <t>Protection Demon of Light, Shouki</t>
  </si>
  <si>
    <t>Shugen Demon, Jyaki</t>
  </si>
  <si>
    <t>Protection Demon of Dark, Jyaki</t>
  </si>
  <si>
    <t>Top Droidragon</t>
  </si>
  <si>
    <t>Super Metallic Body</t>
  </si>
  <si>
    <t>Search</t>
  </si>
  <si>
    <t>15,15</t>
  </si>
  <si>
    <t>17,7</t>
  </si>
  <si>
    <t>14,4</t>
  </si>
  <si>
    <t>24,9,21</t>
  </si>
  <si>
    <t>8,9</t>
  </si>
  <si>
    <t>8,8</t>
  </si>
  <si>
    <t>Feline Deity of Harmony, Bastet</t>
  </si>
  <si>
    <t>Cat Orchestra</t>
  </si>
  <si>
    <t>War Deity of Fury, Ares</t>
  </si>
  <si>
    <t>Secret Art of the War Deity</t>
  </si>
  <si>
    <t>Commerce Deity of Dreams, Hermes</t>
  </si>
  <si>
    <t>Secret Art of the Commerce Deity</t>
  </si>
  <si>
    <t>Hunt God of the Holy Bow, Artemis</t>
  </si>
  <si>
    <t>Secret Art of the Hunting Deity</t>
  </si>
  <si>
    <t>Solar God of Heaven's Bow, Apollo</t>
  </si>
  <si>
    <t>Soul of the Solar Deity</t>
  </si>
  <si>
    <t>Queen of Condemnation, Persephone</t>
  </si>
  <si>
    <t>Soul of the Hell Queen</t>
  </si>
  <si>
    <t>Dark Liege, Vampire Duke</t>
  </si>
  <si>
    <t>Midnight Smile</t>
  </si>
  <si>
    <t>Arcane Monarch, Vampire Duke</t>
  </si>
  <si>
    <t>3,18,2</t>
  </si>
  <si>
    <t>Dark Ambition</t>
  </si>
  <si>
    <t>Red Chaser</t>
  </si>
  <si>
    <t>Flame Chaser</t>
  </si>
  <si>
    <t>Overheat</t>
  </si>
  <si>
    <t>Blue Chaser</t>
  </si>
  <si>
    <t>Aqua Chaser</t>
  </si>
  <si>
    <t>Hydro Shell</t>
  </si>
  <si>
    <t>Green Chaser</t>
  </si>
  <si>
    <t>Wind Chaser</t>
  </si>
  <si>
    <t>Aero Stream</t>
  </si>
  <si>
    <t>Yellow Chaser</t>
  </si>
  <si>
    <t>Lightning Chaser</t>
  </si>
  <si>
    <t>Thunder Weapon</t>
  </si>
  <si>
    <t>Purple Chaser</t>
  </si>
  <si>
    <t>Phantom Chaser</t>
  </si>
  <si>
    <t>Shadow Mist</t>
  </si>
  <si>
    <t>Flame Baron</t>
  </si>
  <si>
    <t>10,11</t>
  </si>
  <si>
    <t>Man and Horse as One, Strike</t>
  </si>
  <si>
    <t>Aqua Baron</t>
  </si>
  <si>
    <t>10,13</t>
  </si>
  <si>
    <t>Man and Horse as One, Life</t>
  </si>
  <si>
    <t>Earth Baron</t>
  </si>
  <si>
    <t>10,12</t>
  </si>
  <si>
    <t>White Baron</t>
  </si>
  <si>
    <t>Man and Horse as One, Comfort</t>
  </si>
  <si>
    <t>Black Baron</t>
  </si>
  <si>
    <t>Red Dragon Caller, Sonia</t>
  </si>
  <si>
    <t>Magic Dragon Tribe's Pride</t>
  </si>
  <si>
    <t>Draco Summoning Circle-Fr &amp; Dk</t>
  </si>
  <si>
    <t>Extant Red Dragon Caller, Sonia</t>
  </si>
  <si>
    <t>22,26,20,21,21</t>
  </si>
  <si>
    <t>Jade Dragon Caller, Sonia</t>
  </si>
  <si>
    <t>Ancient Dragon Tribe's Bloodline</t>
  </si>
  <si>
    <t>Draco Summoning Circle-Wd &amp; Dk</t>
  </si>
  <si>
    <t>Eternal Jade Dragon Caller, Sonia</t>
  </si>
  <si>
    <t>24,16,26,20,21,21</t>
  </si>
  <si>
    <t>Angelit</t>
  </si>
  <si>
    <t>Devilit</t>
  </si>
  <si>
    <t>Awoken Zeus Olympios</t>
  </si>
  <si>
    <t>The Soul of Zeus</t>
  </si>
  <si>
    <t>Awoken Zeus Stratios</t>
  </si>
  <si>
    <t>Black Dimension</t>
  </si>
  <si>
    <t>Elemental of Harsh Flame, Shaitan</t>
  </si>
  <si>
    <t>Elemental of Kind Waters, Undine</t>
  </si>
  <si>
    <t>Elemental of Levity, Sylph</t>
  </si>
  <si>
    <t>Elemental of Gold Glimmer, Genie</t>
  </si>
  <si>
    <t>Elemental of True Death, Thanatos</t>
  </si>
  <si>
    <t>BAO Joker</t>
  </si>
  <si>
    <t>Maniac Mastermind</t>
  </si>
  <si>
    <t>BAO Joker+A. Blossom</t>
  </si>
  <si>
    <t>18,12</t>
  </si>
  <si>
    <t>Killing Joke</t>
  </si>
  <si>
    <t>BAO Catwoman</t>
  </si>
  <si>
    <t>Master Thief</t>
  </si>
  <si>
    <t>Nine Lives</t>
  </si>
  <si>
    <t>BAO Catwoman+C. Claw</t>
  </si>
  <si>
    <t>22,9,21</t>
  </si>
  <si>
    <t>BAO Robin</t>
  </si>
  <si>
    <t>Boy Wonder</t>
  </si>
  <si>
    <t>Birdarangs</t>
  </si>
  <si>
    <t>BAO Robin+E. Stick</t>
  </si>
  <si>
    <t>16,27,19</t>
  </si>
  <si>
    <t>BAO Batman+S. Gloves</t>
  </si>
  <si>
    <t>Gotham's Protector</t>
  </si>
  <si>
    <t>Electric Impact</t>
  </si>
  <si>
    <t>BAO Batman+S. Gloves Act</t>
  </si>
  <si>
    <t>18,17,26,10</t>
  </si>
  <si>
    <t>BAO Batman+Batarang</t>
  </si>
  <si>
    <t>Dark Knight</t>
  </si>
  <si>
    <t>Intimidation</t>
  </si>
  <si>
    <t>BAO Batman+Remote Claw</t>
  </si>
  <si>
    <t>18,11,26</t>
  </si>
  <si>
    <t>BAO Batman+Batwing</t>
  </si>
  <si>
    <t>Supersonic</t>
  </si>
  <si>
    <t>Batwing</t>
  </si>
  <si>
    <t>BAO Batman+BW Attack</t>
  </si>
  <si>
    <t>18,15,26,27</t>
  </si>
  <si>
    <t>2,4</t>
  </si>
  <si>
    <t>1,5</t>
  </si>
  <si>
    <t>3,7</t>
  </si>
  <si>
    <t>13,24</t>
  </si>
  <si>
    <t>AB Red</t>
  </si>
  <si>
    <t>Seeing Red</t>
  </si>
  <si>
    <t>AB Red Bird Red</t>
  </si>
  <si>
    <t>AB The Blues</t>
  </si>
  <si>
    <t>Triplet Spirit</t>
  </si>
  <si>
    <t>AB Bluebird Blues</t>
  </si>
  <si>
    <t>AB Hal</t>
  </si>
  <si>
    <t>Wandering Drifter</t>
  </si>
  <si>
    <t>AB Green Bird Hal</t>
  </si>
  <si>
    <t>AB Chuck</t>
  </si>
  <si>
    <t>Speedster</t>
  </si>
  <si>
    <t>AB Yellow Bird Chuck</t>
  </si>
  <si>
    <t>AB Matilda</t>
  </si>
  <si>
    <t>Mother Nature</t>
  </si>
  <si>
    <t>Egg!</t>
  </si>
  <si>
    <t>AB White Bird Matilda</t>
  </si>
  <si>
    <t>AB Bomb</t>
  </si>
  <si>
    <t>Exasperating Explosion</t>
  </si>
  <si>
    <t>AB Black Bird Bomb</t>
  </si>
  <si>
    <t>AB Wingman</t>
  </si>
  <si>
    <t>Mysterious Hero</t>
  </si>
  <si>
    <t>Charge!!</t>
  </si>
  <si>
    <t>AB Dashing Wingman</t>
  </si>
  <si>
    <t>6,6,6,6,6,16,21</t>
  </si>
  <si>
    <t>Hard Mistral Breath</t>
  </si>
  <si>
    <t>Lovely Maiden, Princess Valkyrie</t>
  </si>
  <si>
    <t>Azure Maiden, Graceful Valkyrie</t>
  </si>
  <si>
    <t>Red Pirate Dragon, Bartholomew</t>
  </si>
  <si>
    <t>Red Sea King's Jolly Roger</t>
  </si>
  <si>
    <t>Crimson Sea Dragon Broadside</t>
  </si>
  <si>
    <t>Blue Pirate Dragon, Awilda</t>
  </si>
  <si>
    <t>Blue Sea King's Jolly Roger</t>
  </si>
  <si>
    <t>Azure Sea Dragon Broadside</t>
  </si>
  <si>
    <t>Green Pirate Dragon, Captain Kidd</t>
  </si>
  <si>
    <t>Green Sea King's Jolly Roger</t>
  </si>
  <si>
    <t>Verdant Sea Dragon Broadside</t>
  </si>
  <si>
    <t>Gold Sea King's Jolly Roger</t>
  </si>
  <si>
    <t>Gilded Sea Dragon Broadside</t>
  </si>
  <si>
    <t>Black Sea King's Jolly Roger</t>
  </si>
  <si>
    <t>Ebony Sea Dragon Broadside</t>
  </si>
  <si>
    <t>Red Pirate</t>
  </si>
  <si>
    <t>Blue Pirate</t>
  </si>
  <si>
    <t>Green Pirate</t>
  </si>
  <si>
    <t>Blazing Maiden, Princess Valkyrie</t>
  </si>
  <si>
    <t>Black Blaze, Graceful Valkyrie</t>
  </si>
  <si>
    <t>Gigas the Great</t>
  </si>
  <si>
    <t>Divine Queen Hera</t>
  </si>
  <si>
    <t>Divine Queen's Breath</t>
  </si>
  <si>
    <t>Guts</t>
  </si>
  <si>
    <t>Warded Storm God, Susano no Mikoto</t>
  </si>
  <si>
    <t>Iron Will of the Gods</t>
  </si>
  <si>
    <t>Dancing Light Amaterasu Ohkami</t>
  </si>
  <si>
    <t>Divine Healing</t>
  </si>
  <si>
    <t>War Deity of the Night, Tsukuyomi</t>
  </si>
  <si>
    <t>Moonlit Divine Strike</t>
  </si>
  <si>
    <t>Nocturne Chanter Tsukuyomi</t>
  </si>
  <si>
    <t>Chanter's Pitch</t>
  </si>
  <si>
    <t>Flame Falcon Crimson Strike</t>
  </si>
  <si>
    <t>Flame Falcon Blinding Light</t>
  </si>
  <si>
    <t>The Beckoning of the Nile</t>
  </si>
  <si>
    <t>The Glittering of the Nile</t>
  </si>
  <si>
    <t>Realm of the Sun</t>
  </si>
  <si>
    <t>Jackal's Revelation</t>
  </si>
  <si>
    <t>Jackal's Roar</t>
  </si>
  <si>
    <t>An Ability Awakens?</t>
  </si>
  <si>
    <t>Prayer in Holy Night-Lt</t>
  </si>
  <si>
    <t>Holy Gift</t>
  </si>
  <si>
    <t>Prayer in Holy Night-Dk</t>
  </si>
  <si>
    <t>Dark Gift</t>
  </si>
  <si>
    <t>16,24,9,21</t>
  </si>
  <si>
    <t>18,26,13,10</t>
  </si>
  <si>
    <t>15,23,19</t>
  </si>
  <si>
    <t>16,9,15</t>
  </si>
  <si>
    <t>17,12,25</t>
  </si>
  <si>
    <t>18,27,21</t>
  </si>
  <si>
    <t>14,10,19</t>
  </si>
  <si>
    <t>17,27,12,10</t>
  </si>
  <si>
    <t>4,22,14</t>
  </si>
  <si>
    <t>18,11,14</t>
  </si>
  <si>
    <t>17,8</t>
  </si>
  <si>
    <t>18,9</t>
  </si>
  <si>
    <t>7,12</t>
  </si>
  <si>
    <t>6,1</t>
  </si>
  <si>
    <t>2,15</t>
  </si>
  <si>
    <t>TUBE</t>
  </si>
  <si>
    <t>7,7</t>
  </si>
  <si>
    <t>3,8</t>
  </si>
  <si>
    <t>2,6</t>
  </si>
  <si>
    <t>13,18,21</t>
  </si>
  <si>
    <t>Yamato Takeru</t>
  </si>
  <si>
    <t>The God-Emperor's Bloodline</t>
  </si>
  <si>
    <t>The Sword Kusanagi</t>
  </si>
  <si>
    <t>Martial God-Emperor, Yamato Takeru</t>
  </si>
  <si>
    <t>Andromeda</t>
  </si>
  <si>
    <t>The Queen's Lucky Star</t>
  </si>
  <si>
    <t>The Sacred Blue Chains</t>
  </si>
  <si>
    <t>Starsea Goddess, Andromeda</t>
  </si>
  <si>
    <t>Perseus</t>
  </si>
  <si>
    <t>Protector of the Sacred Relic</t>
  </si>
  <si>
    <t>Green Star Blade</t>
  </si>
  <si>
    <t>Vanquishing Deity, Perseus</t>
  </si>
  <si>
    <t>Sun Wukong</t>
  </si>
  <si>
    <t>Elixir of Vigor</t>
  </si>
  <si>
    <t>The Compliant Rod</t>
  </si>
  <si>
    <t>Golden Monkey King, Sun Wukong</t>
  </si>
  <si>
    <t>Pandora</t>
  </si>
  <si>
    <t>Disaster Strikes</t>
  </si>
  <si>
    <t>Secret Box</t>
  </si>
  <si>
    <t>Goddess of the Bleak Night, Pandora</t>
  </si>
  <si>
    <t>Strawberry Dragon</t>
  </si>
  <si>
    <t>Red Fruit Power</t>
  </si>
  <si>
    <t>Strawberry Shower</t>
  </si>
  <si>
    <t>Red Sky Fruit, Strawberry Dragon</t>
  </si>
  <si>
    <t>4,4,14,21,14,22,14,22,21</t>
  </si>
  <si>
    <t>Red Fruit Blessing</t>
  </si>
  <si>
    <t>Berry Dragon</t>
  </si>
  <si>
    <t>Blue Fruit Power</t>
  </si>
  <si>
    <t>Blueberry Shower</t>
  </si>
  <si>
    <t>Blue Sky Fruit, Berry Dragon</t>
  </si>
  <si>
    <t>5,5,15,21,15,23,15,23,21</t>
  </si>
  <si>
    <t>Blue Fruit Blessing</t>
  </si>
  <si>
    <t>Melon Dragon</t>
  </si>
  <si>
    <t>Green Fruit Power</t>
  </si>
  <si>
    <t>Melon Shower</t>
  </si>
  <si>
    <t>Green Sky Fruit, Melon Dragon</t>
  </si>
  <si>
    <t>6,6,16,21,16,24,16,24,21</t>
  </si>
  <si>
    <t>Green Fruit Blessing</t>
  </si>
  <si>
    <t>Lemon Dragon</t>
  </si>
  <si>
    <t>Yellow Fruit Power</t>
  </si>
  <si>
    <t>Lemon Shower</t>
  </si>
  <si>
    <t>Yellow Sky Fruit, Lemon Dragon</t>
  </si>
  <si>
    <t>7,7,9,21,17,25,17,25,21</t>
  </si>
  <si>
    <t>Yellow Fruit Blessing</t>
  </si>
  <si>
    <t>Grape Dragon</t>
  </si>
  <si>
    <t>Purple Fruit Power</t>
  </si>
  <si>
    <t>Grape Shower</t>
  </si>
  <si>
    <t>Purple Sky Fruit, Grape Dragon</t>
  </si>
  <si>
    <t>8,8,19,21,18,26,18,26,21</t>
  </si>
  <si>
    <t>Purple Fruit Blessing</t>
  </si>
  <si>
    <t>Red Dragon Fruit</t>
  </si>
  <si>
    <t>Blue Dragon Fruit</t>
  </si>
  <si>
    <t>Draco Summoning Circle-Wt &amp; Dk</t>
  </si>
  <si>
    <t>Green Dragon Fruit</t>
  </si>
  <si>
    <t>Blue Dragon Caller, Sonia</t>
  </si>
  <si>
    <t>Crystal Dragon Tribe's Bloodline</t>
  </si>
  <si>
    <t>Endless Blue Dragon Caller, Sonia</t>
  </si>
  <si>
    <t>23,15,26,20,21,21</t>
  </si>
  <si>
    <t>Generate Earth Dragon</t>
  </si>
  <si>
    <t>Earth Dragon's Guardian</t>
  </si>
  <si>
    <t>Tornado Holy Dragon</t>
  </si>
  <si>
    <t>7,6,21</t>
  </si>
  <si>
    <t>Cyclone Devil Dragon</t>
  </si>
  <si>
    <t>8,6,21</t>
  </si>
  <si>
    <t>Twin Water Spiral</t>
  </si>
  <si>
    <t>Twin Wind Spiral</t>
  </si>
  <si>
    <t>16,6,24</t>
  </si>
  <si>
    <t>Crimson Lotus Mistress, Echidna</t>
  </si>
  <si>
    <t>Flamme Rouge</t>
  </si>
  <si>
    <t>World Tree Sprite, Alraune</t>
  </si>
  <si>
    <t>Song of Rest</t>
  </si>
  <si>
    <t>Creation Tree Spirit, Alraune</t>
  </si>
  <si>
    <t>10,9,9</t>
  </si>
  <si>
    <t>Charm of Vigor</t>
  </si>
  <si>
    <t>Heavenly Herald, Archangel</t>
  </si>
  <si>
    <t>Sanctuary Guardian, Archangel</t>
  </si>
  <si>
    <t>9,9,10</t>
  </si>
  <si>
    <t>The Hand of Dawn</t>
  </si>
  <si>
    <t>Destroying Lance, Gungnir</t>
  </si>
  <si>
    <t>21,22,22,21,21,22</t>
  </si>
  <si>
    <t>Song of Valhalla</t>
  </si>
  <si>
    <t>19,21,22,22</t>
  </si>
  <si>
    <t>21,9,20,19</t>
  </si>
  <si>
    <t>21,9,23,19</t>
  </si>
  <si>
    <t>13,16,27,9</t>
  </si>
  <si>
    <t>13,16,24,9</t>
  </si>
  <si>
    <t>22,14,22</t>
  </si>
  <si>
    <t>23,27,21</t>
  </si>
  <si>
    <t>21,10,10</t>
  </si>
  <si>
    <t>25,9,21</t>
  </si>
  <si>
    <t>24,24,21,21</t>
  </si>
  <si>
    <t>4,4,4,4,4,14,21</t>
  </si>
  <si>
    <t>5,5,5,5,5,15,21</t>
  </si>
  <si>
    <t>Kitty Flamie</t>
  </si>
  <si>
    <t>Strawberry Candy</t>
  </si>
  <si>
    <t>Kitty FlaBaddie</t>
  </si>
  <si>
    <t>27,8</t>
  </si>
  <si>
    <t>Kitty's Ribbon - Fire</t>
  </si>
  <si>
    <t>Kitty Bubblie</t>
  </si>
  <si>
    <t>Blueberry Candy</t>
  </si>
  <si>
    <t>Kitty BubFlamie</t>
  </si>
  <si>
    <t>27,4</t>
  </si>
  <si>
    <t>Kitty's Ribbon - Water</t>
  </si>
  <si>
    <t>Kitty Woodie</t>
  </si>
  <si>
    <t>Melon Candy</t>
  </si>
  <si>
    <t>Kitty WoodBubblie</t>
  </si>
  <si>
    <t>27,5</t>
  </si>
  <si>
    <t>Kitty's Ribbon - Wood</t>
  </si>
  <si>
    <t>Kitty Shynee</t>
  </si>
  <si>
    <t>Lemon Candy</t>
  </si>
  <si>
    <t>Kitty ShyWoodie</t>
  </si>
  <si>
    <t>27,6</t>
  </si>
  <si>
    <t>Kitty's Ribbon - Light</t>
  </si>
  <si>
    <t>Kitty Baddie</t>
  </si>
  <si>
    <t>Grape Candy</t>
  </si>
  <si>
    <t>Kitty BadShynee</t>
  </si>
  <si>
    <t>27,7</t>
  </si>
  <si>
    <t>Kitty's Ribbon - Dark</t>
  </si>
  <si>
    <t>Kittyn &amp; Mimmyna</t>
  </si>
  <si>
    <t>Two Pals</t>
  </si>
  <si>
    <t>Apple Springs Kittyn &amp; Mimmyna</t>
  </si>
  <si>
    <t>Apple Drawn</t>
  </si>
  <si>
    <t>Let's Party!!</t>
  </si>
  <si>
    <t>Lucky(?) Ribbon</t>
  </si>
  <si>
    <t>Hello Kitty World Joker</t>
  </si>
  <si>
    <t>10,10</t>
  </si>
  <si>
    <t>Hello Kitty</t>
  </si>
  <si>
    <t>The Power of Spirit</t>
  </si>
  <si>
    <t>Apple Power!</t>
  </si>
  <si>
    <t>Kitty &amp; Tyrra</t>
  </si>
  <si>
    <t>21,14,27</t>
  </si>
  <si>
    <t>Kerokerokeroppi</t>
  </si>
  <si>
    <t>The Power of Courage</t>
  </si>
  <si>
    <t>Kerokero Attack!</t>
  </si>
  <si>
    <t>Keroppi &amp; Plessie</t>
  </si>
  <si>
    <t>21,15,27</t>
  </si>
  <si>
    <t>My Melody</t>
  </si>
  <si>
    <t>The Power of Kindness</t>
  </si>
  <si>
    <t>Melody Wink</t>
  </si>
  <si>
    <t>Melody &amp; Brachy</t>
  </si>
  <si>
    <t>21,16,27</t>
  </si>
  <si>
    <t>Bad Badtz-Maru</t>
  </si>
  <si>
    <t>Black Heart</t>
  </si>
  <si>
    <t>Spanking!</t>
  </si>
  <si>
    <t>Pierdra Badtz-Maru</t>
  </si>
  <si>
    <t>26,11,10</t>
  </si>
  <si>
    <t>Kuromi</t>
  </si>
  <si>
    <t>Pink Heart</t>
  </si>
  <si>
    <t>Devastating Wink!</t>
  </si>
  <si>
    <t>Lilith Kuromi</t>
  </si>
  <si>
    <t>26,13,19</t>
  </si>
  <si>
    <t>Cinnamoroll</t>
  </si>
  <si>
    <t>White Heart</t>
  </si>
  <si>
    <t>Snack Time!</t>
  </si>
  <si>
    <t>Angel Cinnamon</t>
  </si>
  <si>
    <t>17,9,21</t>
  </si>
  <si>
    <t>Pompompurin</t>
  </si>
  <si>
    <t>Purin Egg</t>
  </si>
  <si>
    <t>TAMADRApurin</t>
  </si>
  <si>
    <t>25,10,10,21</t>
  </si>
  <si>
    <t>Goddess Hello Kitty</t>
  </si>
  <si>
    <t>Circle of Friends</t>
  </si>
  <si>
    <t>Princess Smile</t>
  </si>
  <si>
    <t>Princess Valkitty</t>
  </si>
  <si>
    <t>25,10,9,21</t>
  </si>
  <si>
    <t>BAO Firefly</t>
  </si>
  <si>
    <t>Flameproof</t>
  </si>
  <si>
    <t>BAO Firefly + Flamethrower</t>
  </si>
  <si>
    <t>BAO Solomon Grundy</t>
  </si>
  <si>
    <t>Self-resurrection</t>
  </si>
  <si>
    <t>BAO S. Grundy Reborn</t>
  </si>
  <si>
    <t>5,5</t>
  </si>
  <si>
    <t>BAO Copperhead</t>
  </si>
  <si>
    <t>Contortionist</t>
  </si>
  <si>
    <t>BAO Venomous Copperhead</t>
  </si>
  <si>
    <t>16,3</t>
  </si>
  <si>
    <t>BAO Bane</t>
  </si>
  <si>
    <t>The Liberator</t>
  </si>
  <si>
    <t>BAO Venom-Enhanced Bane</t>
  </si>
  <si>
    <t>1,20</t>
  </si>
  <si>
    <t>BAO Deathstroke</t>
  </si>
  <si>
    <t>Contract Killer</t>
  </si>
  <si>
    <t>BAO Deathstroke + B. Staff</t>
  </si>
  <si>
    <t>キングゴールドネッキー</t>
  </si>
  <si>
    <t>ファミ通Appの加護</t>
  </si>
  <si>
    <t>ファミ通Appの怒り</t>
  </si>
  <si>
    <t>ベビーマッチ</t>
  </si>
  <si>
    <t>太鼓の達人！</t>
  </si>
  <si>
    <t>ベビーマッチプラス</t>
  </si>
  <si>
    <t>アクマーメイド</t>
  </si>
  <si>
    <t>アクマーメイドプラス</t>
  </si>
  <si>
    <t>ごぶがりゴブリン</t>
  </si>
  <si>
    <t>ごぶがりゴブリンプラス</t>
  </si>
  <si>
    <t>音符のしにがみ</t>
  </si>
  <si>
    <t>音符のしにがみプラス</t>
  </si>
  <si>
    <t>どんちゃん</t>
  </si>
  <si>
    <t>勇者どんちゃん</t>
  </si>
  <si>
    <t>勇者どんちゃんプラス</t>
  </si>
  <si>
    <t>スーパーキングゴールドネッキー</t>
  </si>
  <si>
    <t>ファミ通Appの大激怒</t>
  </si>
  <si>
    <t>キングセブンドラゴン</t>
  </si>
  <si>
    <t>キングイレブンドラゴン</t>
  </si>
  <si>
    <t>メカドン</t>
  </si>
  <si>
    <t>太鼓の達人！どんちゃん</t>
  </si>
  <si>
    <t>ドドンがドン！</t>
  </si>
  <si>
    <t>太鼓神どんちゃん</t>
  </si>
  <si>
    <t>あついさん</t>
  </si>
  <si>
    <t>メラリ！ あついさん</t>
  </si>
  <si>
    <t>メラメラあたっく</t>
  </si>
  <si>
    <t>ホワイトさん</t>
  </si>
  <si>
    <t>うっとり～ん ホワイトさん</t>
  </si>
  <si>
    <t>うっとり～んあたっく</t>
  </si>
  <si>
    <t>カピバラさん</t>
  </si>
  <si>
    <t>のぼ～ん カピバラさん</t>
  </si>
  <si>
    <t>のぼ～んあたっく</t>
  </si>
  <si>
    <t>ひだまりさん</t>
  </si>
  <si>
    <t>ふらわ～ん ひだまりさん</t>
  </si>
  <si>
    <t>ふらわ～んあたっく</t>
  </si>
  <si>
    <t>リーゼントくん</t>
  </si>
  <si>
    <t>ブンブン リーゼントくん</t>
  </si>
  <si>
    <t>ブンブンあたっく</t>
  </si>
  <si>
    <t>Romantic★Cathy</t>
  </si>
  <si>
    <t>亡国のアポロ</t>
  </si>
  <si>
    <t>オリンポス戦闘術</t>
  </si>
  <si>
    <t>オリンポスの炎</t>
  </si>
  <si>
    <t>灼炎のアポロ</t>
  </si>
  <si>
    <t>サンシャイン・バースト</t>
  </si>
  <si>
    <t>聖龍王サイガ</t>
  </si>
  <si>
    <t>七天伐刀</t>
  </si>
  <si>
    <t>神羅万象</t>
  </si>
  <si>
    <t>光龍王サイガ</t>
  </si>
  <si>
    <t>双龍伐刀剣</t>
  </si>
  <si>
    <t>バンチャック</t>
  </si>
  <si>
    <t>KOBレオンハート</t>
  </si>
  <si>
    <t>ロイヤル・ストレート・F</t>
  </si>
  <si>
    <t>コボックル</t>
  </si>
  <si>
    <t>ボックル</t>
  </si>
  <si>
    <t>友好の握手</t>
  </si>
  <si>
    <t>カグヤ</t>
  </si>
  <si>
    <t>狂華咲乱 花媛香具耶</t>
  </si>
  <si>
    <t>毒霧散布</t>
  </si>
  <si>
    <t>ウエハーマン</t>
  </si>
  <si>
    <t>聖龍石</t>
  </si>
  <si>
    <t>灼炎王アポロ</t>
  </si>
  <si>
    <t>爆熱エクスプロージョン</t>
  </si>
  <si>
    <t>完全覚醒・光龍王サイガ</t>
  </si>
  <si>
    <t>央覇封神</t>
  </si>
  <si>
    <t>恋するアン・パント・ケットバス</t>
  </si>
  <si>
    <t>スイーツシュート改</t>
  </si>
  <si>
    <t>DDQ・ドレイク</t>
  </si>
  <si>
    <t>翼竜の意志</t>
  </si>
  <si>
    <t>ブレイズブレス</t>
  </si>
  <si>
    <t>DDQ・ドラゴン</t>
  </si>
  <si>
    <t>翼竜の使命</t>
  </si>
  <si>
    <t>DDQ・リザードマン</t>
  </si>
  <si>
    <t>龍人の秘力</t>
  </si>
  <si>
    <t>DDQ・ドラゴニュート</t>
  </si>
  <si>
    <t>DDQ・ベヘモット</t>
  </si>
  <si>
    <t>巨獣の秘力</t>
  </si>
  <si>
    <t>DDQ・キングベヘモット</t>
  </si>
  <si>
    <t>DDQ・スケルトン</t>
  </si>
  <si>
    <t>不死の秘力</t>
  </si>
  <si>
    <t>DDQ・スケルトンロード</t>
  </si>
  <si>
    <t>DDQ・ディフェンダー</t>
  </si>
  <si>
    <t>邪攻反射</t>
  </si>
  <si>
    <t>DDQ・アークガーディアン</t>
  </si>
  <si>
    <t>DDQ・マジックアーチャー</t>
  </si>
  <si>
    <t>ポイズンアタック</t>
  </si>
  <si>
    <t>DDQ・ポイズンエンチャンター</t>
  </si>
  <si>
    <t>ジャギィネコ</t>
  </si>
  <si>
    <t>Dark Resistance Enhance ＜Mid＞</t>
  </si>
  <si>
    <t>気合を入れるニャ！</t>
  </si>
  <si>
    <t>ドスジャギィ＆ジャギィネコ</t>
  </si>
  <si>
    <t>Dark Resistance Enhance ＜High＞</t>
  </si>
  <si>
    <t>フロギィネコ</t>
  </si>
  <si>
    <t>堅実にいくニャ！</t>
  </si>
  <si>
    <t>ドスフロギィ＆フロギィネコ</t>
  </si>
  <si>
    <t>バギィネコ</t>
  </si>
  <si>
    <t>Water Resistance Enhance ＜Mid＞</t>
  </si>
  <si>
    <t>ふんばるニャ！</t>
  </si>
  <si>
    <t>ドスバギィ＆バギィネコ</t>
  </si>
  <si>
    <t>Water Resistance Enhance ＜High＞</t>
  </si>
  <si>
    <t>ガーグァネコ</t>
  </si>
  <si>
    <t>Auto Recover ＜Mid＞</t>
  </si>
  <si>
    <t>応援するニャ！</t>
  </si>
  <si>
    <t>ガーグァ＆ガーグァネコ</t>
  </si>
  <si>
    <t>ファンゴネコ</t>
  </si>
  <si>
    <t>Wood Resistance Enhance ＜Mid＞</t>
  </si>
  <si>
    <t>突進準備ニャ！</t>
  </si>
  <si>
    <t>ドスファンゴ＆ファンゴネコ</t>
  </si>
  <si>
    <t>Wood Resistance Enhance ＜High＞</t>
  </si>
  <si>
    <t>リノプロネコ</t>
  </si>
  <si>
    <t>Light Resistance Enhance ＜Mid＞</t>
  </si>
  <si>
    <t>力をためるニャ！</t>
  </si>
  <si>
    <t>リノプロス＆リノプロスネコ</t>
  </si>
  <si>
    <t>Light Resistance Enhance ＜High＞</t>
  </si>
  <si>
    <t>レウスネコ</t>
  </si>
  <si>
    <t>火竜の怒り</t>
  </si>
  <si>
    <t>一撃離脱ニャ！</t>
  </si>
  <si>
    <t>リオレウス＆レウスネコ</t>
  </si>
  <si>
    <t>レイアネコ</t>
  </si>
  <si>
    <t>雌火竜の誇り</t>
  </si>
  <si>
    <t>スキありニャ！</t>
  </si>
  <si>
    <t>リオレイア＆レイアネコ</t>
  </si>
  <si>
    <t>ティラアイルー</t>
  </si>
  <si>
    <t>おかえしニャ！＜火＞</t>
  </si>
  <si>
    <t>爆炎龍ティラノス＆アイルー</t>
  </si>
  <si>
    <t>プレシィアイルー</t>
  </si>
  <si>
    <t>おかえしニャ！＜水＞</t>
  </si>
  <si>
    <t>氷塊龍プレシオス＆アイルー</t>
  </si>
  <si>
    <t>ブラッキィアイルー</t>
  </si>
  <si>
    <t>おかえしニャ！＜木＞</t>
  </si>
  <si>
    <t>大花龍ブラキオス＆アイルー</t>
  </si>
  <si>
    <t>キンメタネコ</t>
  </si>
  <si>
    <t>みんなを守るニャ！＜闇＞</t>
  </si>
  <si>
    <t>本気だすニャ！</t>
  </si>
  <si>
    <t>キングメタドラ＆キンメタネコ</t>
  </si>
  <si>
    <t>キンゴルネコ</t>
  </si>
  <si>
    <t>コイン見つけたニャ！</t>
  </si>
  <si>
    <t>サポートするニャ！</t>
  </si>
  <si>
    <t>キングゴルドラ＆キンゴルネコ</t>
  </si>
  <si>
    <t>覚醒オーディンネコ</t>
  </si>
  <si>
    <t>オーディンハット</t>
  </si>
  <si>
    <t>ぐんぐにーるニャ！</t>
  </si>
  <si>
    <t>覚醒オーディン＆オーディンネコ</t>
  </si>
  <si>
    <t>騎迅轟破灼炎王アポロ</t>
  </si>
  <si>
    <t>プシュケ・ネクタール</t>
  </si>
  <si>
    <t>光龍帝サイガ</t>
  </si>
  <si>
    <t>封印魔破</t>
  </si>
  <si>
    <t>はぐれ魂獣イヅナ</t>
  </si>
  <si>
    <t>魂獣解放</t>
  </si>
  <si>
    <t>白面金剛九尾イヅナ</t>
  </si>
  <si>
    <t>皇帝マステリオン</t>
  </si>
  <si>
    <t>皇帝統治領域</t>
  </si>
  <si>
    <t>ダーク・ブラスター</t>
  </si>
  <si>
    <t>魔王マステリオン</t>
  </si>
  <si>
    <t>皇魔族統治領域</t>
  </si>
  <si>
    <t>サーティワン・ルビリット</t>
  </si>
  <si>
    <t>ベリーベリーストロベリー</t>
  </si>
  <si>
    <t>サーティワン・ダブルビリット</t>
  </si>
  <si>
    <t>サーティワン・サファリット</t>
  </si>
  <si>
    <t>ポッピングシャワー</t>
  </si>
  <si>
    <t>サーティワン・ダブサファリット</t>
  </si>
  <si>
    <t>サーティワン・エメリット</t>
  </si>
  <si>
    <t>抹茶</t>
  </si>
  <si>
    <t>サーティワン・ダブエメリット</t>
  </si>
  <si>
    <t>サーティワン・トパリット</t>
  </si>
  <si>
    <t>パイナップルナッツ</t>
  </si>
  <si>
    <t>サーティワン・ダブトパリット</t>
  </si>
  <si>
    <t>サーティワン・アメリット</t>
  </si>
  <si>
    <t>チョップドチョコレート</t>
  </si>
  <si>
    <t>サーティワン・ダブアメリット</t>
  </si>
  <si>
    <t>サーティワン・バステト</t>
  </si>
  <si>
    <t>チャレンジ・ザ・トリプル</t>
  </si>
  <si>
    <t>サーティワン・愛猫神・バステト</t>
  </si>
  <si>
    <t>メラゴン</t>
  </si>
  <si>
    <t>火のソウル</t>
  </si>
  <si>
    <t>メラバーン</t>
  </si>
  <si>
    <t>獄炎龍・インフェルノ</t>
  </si>
  <si>
    <t>しゃくねつのソウル</t>
  </si>
  <si>
    <t>ザブゴン</t>
  </si>
  <si>
    <t>水のソウル</t>
  </si>
  <si>
    <t>ザブシャーク</t>
  </si>
  <si>
    <t>水のオーラ</t>
  </si>
  <si>
    <t>嵐海龍・レヴィア</t>
  </si>
  <si>
    <t>うみのアーマー</t>
  </si>
  <si>
    <t>モリゴン</t>
  </si>
  <si>
    <t>木のソウル</t>
  </si>
  <si>
    <t>モリガノン</t>
  </si>
  <si>
    <t>木のシールド</t>
  </si>
  <si>
    <t>重岩龍・ガルムット</t>
  </si>
  <si>
    <t>もりのアーマー</t>
  </si>
  <si>
    <t>裏樹天龍・ホウライ</t>
  </si>
  <si>
    <t>だいちのソウル</t>
  </si>
  <si>
    <t>モルボルワースト</t>
  </si>
  <si>
    <t>モルボル菌</t>
  </si>
  <si>
    <t>光翼の絆・ソルジャーズ</t>
  </si>
  <si>
    <t>ふたりのエール</t>
  </si>
  <si>
    <t>極滅召喚・ダークフレアバハムート</t>
  </si>
  <si>
    <t>竜王の激昂</t>
  </si>
  <si>
    <t>ゴン＝フリークス</t>
  </si>
  <si>
    <t>最初はグー</t>
  </si>
  <si>
    <t>ジャジャン拳・グー</t>
  </si>
  <si>
    <t>ジャジャン拳・ゴン＝フリークス</t>
  </si>
  <si>
    <t>キルア＝ゾルディック</t>
  </si>
  <si>
    <t>雷掌</t>
  </si>
  <si>
    <t>落雷</t>
  </si>
  <si>
    <t>落雷・キルア＝ゾルディック</t>
  </si>
  <si>
    <t>クラピカ</t>
  </si>
  <si>
    <t>癒す親指の鎖</t>
  </si>
  <si>
    <t>律する小指の鎖</t>
  </si>
  <si>
    <t>緋の眼・クラピカ</t>
  </si>
  <si>
    <t>レオリオ</t>
  </si>
  <si>
    <t>資金調達</t>
  </si>
  <si>
    <t>友との約束</t>
  </si>
  <si>
    <t>受験生・レオリオ</t>
  </si>
  <si>
    <t>ビスケ</t>
  </si>
  <si>
    <t>鍛えるわよォ～</t>
  </si>
  <si>
    <t>桃色吐息</t>
  </si>
  <si>
    <t>魔法美容師・ビスケ</t>
  </si>
  <si>
    <t>クロロ＝ルシルフル</t>
  </si>
  <si>
    <t>天使の自動筆記</t>
  </si>
  <si>
    <t>盗賊の極意</t>
  </si>
  <si>
    <t>盗賊の極意・クロロ＝ルシルフル</t>
  </si>
  <si>
    <t>ヒソカ</t>
  </si>
  <si>
    <t>興奮しちゃうじゃないか♪</t>
  </si>
  <si>
    <t>薄っぺらな嘘</t>
  </si>
  <si>
    <t>伸縮自在の愛・ヒソカ</t>
  </si>
  <si>
    <t>ネテロ</t>
  </si>
  <si>
    <t>血沸く血沸く♪</t>
  </si>
  <si>
    <t>壱乃掌</t>
  </si>
  <si>
    <t>百式観音・ネテロ</t>
  </si>
  <si>
    <t>ゲンスルー</t>
  </si>
  <si>
    <t>解放</t>
  </si>
  <si>
    <t>一握りの火薬</t>
  </si>
  <si>
    <t>爆弾魔・ゲンスルー</t>
  </si>
  <si>
    <t>ジェド</t>
  </si>
  <si>
    <t>≪影≫</t>
  </si>
  <si>
    <t>“怨”</t>
  </si>
  <si>
    <t>百鬼呪怨・ジェド</t>
  </si>
  <si>
    <t>王</t>
  </si>
  <si>
    <t>絶対的なオーラ</t>
  </si>
  <si>
    <t>王の一手</t>
  </si>
  <si>
    <t>メルエム</t>
  </si>
  <si>
    <t>ピトー</t>
  </si>
  <si>
    <t>念人形による修復</t>
  </si>
  <si>
    <t>僕、ちょっと強いかも</t>
  </si>
  <si>
    <t>玩具修理者・ピトー</t>
  </si>
  <si>
    <t>プフ</t>
  </si>
  <si>
    <t>鱗粉</t>
  </si>
  <si>
    <t>陶酔の蝶・プフ</t>
  </si>
  <si>
    <t>ユピー</t>
  </si>
  <si>
    <t>王直属護衛軍</t>
  </si>
  <si>
    <t>形態変化・ユピー</t>
  </si>
  <si>
    <t>コルト</t>
  </si>
  <si>
    <t>女王への忠誠</t>
  </si>
  <si>
    <t>師団長・コルト</t>
  </si>
  <si>
    <t>ラモット</t>
  </si>
  <si>
    <t>強者への忠誠</t>
  </si>
  <si>
    <t>コルト隊兵隊長・ラモット</t>
  </si>
  <si>
    <t>レオル</t>
  </si>
  <si>
    <t>謝債発行機・レオル</t>
  </si>
  <si>
    <t>ヒナ</t>
  </si>
  <si>
    <t>仲間の除念</t>
  </si>
  <si>
    <t>除念能力・ヒナ</t>
  </si>
  <si>
    <t>ザザン</t>
  </si>
  <si>
    <t>トカゲ化</t>
  </si>
  <si>
    <t>審美的転生注射・ザザン</t>
  </si>
  <si>
    <t>パイク</t>
  </si>
  <si>
    <t>襲撃態勢</t>
  </si>
  <si>
    <t>愛の放射線・パイク</t>
  </si>
  <si>
    <t>灼炎太陽神アポロ</t>
  </si>
  <si>
    <t>SB・エクスプロージョン</t>
  </si>
  <si>
    <t>魔神マステリオン</t>
  </si>
  <si>
    <t>バーサーカーＺ</t>
  </si>
  <si>
    <t>バーサークソウル</t>
  </si>
  <si>
    <t>ウルトラヒートアップ</t>
  </si>
  <si>
    <t>炎鎚の蛮勇・プロメテウス</t>
  </si>
  <si>
    <t>ウル・キマイラ</t>
  </si>
  <si>
    <t>フュージョンソウル</t>
  </si>
  <si>
    <t>エールヒール</t>
  </si>
  <si>
    <t>ギーブル・キマイラ</t>
  </si>
  <si>
    <t>グリムロック</t>
  </si>
  <si>
    <t>ワイルドソウル</t>
  </si>
  <si>
    <t>ロックシールド</t>
  </si>
  <si>
    <t>グリムクリストル</t>
  </si>
  <si>
    <t>ラディウス</t>
  </si>
  <si>
    <t>フィフスカインド</t>
  </si>
  <si>
    <t>アンジェリウス</t>
  </si>
  <si>
    <t>シックスカインド</t>
  </si>
  <si>
    <t>ドラゴン・サムライ</t>
  </si>
  <si>
    <t>サムライソウル</t>
  </si>
  <si>
    <t>バーサーク</t>
  </si>
  <si>
    <t>ドラゴン・ショウグン</t>
  </si>
  <si>
    <t>ショウグンソウル</t>
  </si>
  <si>
    <t>アヴァロンドレイク</t>
  </si>
  <si>
    <t>ヘブンズソウル</t>
  </si>
  <si>
    <t>守護龍・アヴァロンドレイク</t>
  </si>
  <si>
    <t>ニルヴァーナソウル</t>
  </si>
  <si>
    <t>裏緋天龍・エルドラド</t>
  </si>
  <si>
    <t>裏蒼天龍・ニライカナイ</t>
  </si>
  <si>
    <t>わだつみのソウル</t>
  </si>
  <si>
    <t>Current Level</t>
  </si>
  <si>
    <t>Max Level</t>
  </si>
  <si>
    <t>Individual HP</t>
  </si>
  <si>
    <t>Individual ATK</t>
  </si>
  <si>
    <t>Individual RCV</t>
  </si>
  <si>
    <t>Current +HP Awakenings</t>
  </si>
  <si>
    <t>Current +ATK Awakenings</t>
  </si>
  <si>
    <t>Current +RCV Awakenings</t>
  </si>
  <si>
    <t>Max +HP Awakenings</t>
  </si>
  <si>
    <t>Max +ATK Awakenings</t>
  </si>
  <si>
    <t>Max +RCV Awakenings</t>
  </si>
  <si>
    <t>Max Row Enhance Awakenings</t>
  </si>
  <si>
    <t>Current Row Enhance Awakenings</t>
  </si>
  <si>
    <t>Current Enhanced Orbs</t>
  </si>
  <si>
    <t>Max Amount of Enhanced Orb Awakenings</t>
  </si>
  <si>
    <t>Enemy Defense:</t>
  </si>
  <si>
    <t>Enemy Damage Calculation:</t>
  </si>
  <si>
    <t>feed_xp</t>
  </si>
  <si>
    <t>10,12,12,10</t>
  </si>
  <si>
    <t>10,13,13,10</t>
  </si>
  <si>
    <t>20,9,10,10</t>
  </si>
  <si>
    <t>27,9,21,25</t>
  </si>
  <si>
    <t>18,11,21,26</t>
  </si>
  <si>
    <t>27,2,22,21</t>
  </si>
  <si>
    <t>1,1,23,21</t>
  </si>
  <si>
    <t>1,2,10,10</t>
  </si>
  <si>
    <t>20,10,10,21</t>
  </si>
  <si>
    <t>18,19,19,28</t>
  </si>
  <si>
    <t>Red Skydragon, El Dorado</t>
  </si>
  <si>
    <t>Blue Skydragon, Nirai Kanai</t>
  </si>
  <si>
    <t>Wood Skydragon, Horai</t>
  </si>
  <si>
    <t>Holy Skydragon, Shangri-La</t>
  </si>
  <si>
    <t>Night Skydragon, Elysion</t>
  </si>
  <si>
    <t>Third Eye</t>
  </si>
  <si>
    <t>1,1,21,28</t>
  </si>
  <si>
    <t>26,21,26,28</t>
  </si>
  <si>
    <t>Fire Mechdragon, Betelgeuse</t>
  </si>
  <si>
    <t>Ice Mechdragon, Aldebaran</t>
  </si>
  <si>
    <t>Wind Mechdragon, Canopus</t>
  </si>
  <si>
    <t>Noble Mechdragon, Regulus</t>
  </si>
  <si>
    <t>Annihilate Mechdragon, Hadar</t>
  </si>
  <si>
    <t>Flame Mech Warrior, Jotunn</t>
  </si>
  <si>
    <t>Water Mech Warrior, Midgard</t>
  </si>
  <si>
    <t>Wood Mech Warrior, Asgard</t>
  </si>
  <si>
    <t>22,1</t>
  </si>
  <si>
    <t>23,1</t>
  </si>
  <si>
    <t>24,1</t>
  </si>
  <si>
    <t>Diabolic Lance, Gungnir</t>
  </si>
  <si>
    <t>22,1,22,21</t>
  </si>
  <si>
    <t>23,1,23,21</t>
  </si>
  <si>
    <t>24,1,24,21</t>
  </si>
  <si>
    <t>25,2,25,21</t>
  </si>
  <si>
    <t>26,1,26,21</t>
  </si>
  <si>
    <t>War Deity, Saint Minerva</t>
  </si>
  <si>
    <t>War Deity, Dark Minerva</t>
  </si>
  <si>
    <t>Sea Deity, Heaven Neptune</t>
  </si>
  <si>
    <t>Sea Deity, Abyss Neptune</t>
  </si>
  <si>
    <t>Fertility Deity, Holy Ceres</t>
  </si>
  <si>
    <t>Fertility Deity, Evil Ceres</t>
  </si>
  <si>
    <t>Love Deity, Cosmos Venus</t>
  </si>
  <si>
    <t>Love Deity, Chaos Venus</t>
  </si>
  <si>
    <t>24,9</t>
  </si>
  <si>
    <t>Ancient Fire Dragon, Ardbeg</t>
  </si>
  <si>
    <t>Ancient Water Dragon, Bowmore</t>
  </si>
  <si>
    <t>Ancient Wood Dragon, Lagavulin</t>
  </si>
  <si>
    <t>Ancient Light Dragon, Laphroaig</t>
  </si>
  <si>
    <t>Ancient Dark Dragon, Caol-ila</t>
  </si>
  <si>
    <t>Flame Deity, Falcon Horus</t>
  </si>
  <si>
    <t>4,5,6,28</t>
  </si>
  <si>
    <t>Water Deity, Holy Isis</t>
  </si>
  <si>
    <t>14,15,16,10</t>
  </si>
  <si>
    <t>Love Deity, Feline Bastet</t>
  </si>
  <si>
    <t>13,19,24,28</t>
  </si>
  <si>
    <t>7,8,1,11</t>
  </si>
  <si>
    <t>Hell Deity, Jackal Anubis</t>
  </si>
  <si>
    <t>10,10,19,9</t>
  </si>
  <si>
    <t>17,28</t>
  </si>
  <si>
    <t>15,5</t>
  </si>
  <si>
    <t>16,6</t>
  </si>
  <si>
    <t>18,8</t>
  </si>
  <si>
    <t>Fire Samurai Dragon, Shingen</t>
  </si>
  <si>
    <t>Water Samurai Dragon, Kenshin</t>
  </si>
  <si>
    <t>Wood Samurai Dragon, Masamune</t>
  </si>
  <si>
    <t>Light Samurai Dragon, Hideyoshi</t>
  </si>
  <si>
    <t>Dark Samurai Dragon, Nobunaga</t>
  </si>
  <si>
    <t>Flame Shrine Maiden, Chiyome</t>
  </si>
  <si>
    <t>Blue Wind Ninja, Hatsume</t>
  </si>
  <si>
    <t>Wind Prodigy, Sasuke</t>
  </si>
  <si>
    <t>Lightning Storm, Fuma Kotaro</t>
  </si>
  <si>
    <t>High Dark Ninja, Hanzo</t>
  </si>
  <si>
    <t>2,21,1,22</t>
  </si>
  <si>
    <t>2,21,1,23</t>
  </si>
  <si>
    <t>2,21,1,24</t>
  </si>
  <si>
    <t>1,2,3,21</t>
  </si>
  <si>
    <t>Embrace of Demonic Fire Queen</t>
  </si>
  <si>
    <t>Kiss of Demonic Fire Queen</t>
  </si>
  <si>
    <t>2,21,22,9</t>
  </si>
  <si>
    <t>2,21,23,9</t>
  </si>
  <si>
    <t>2,21,24,9</t>
  </si>
  <si>
    <t>2,20,20,25</t>
  </si>
  <si>
    <t>2,2,28,9</t>
  </si>
  <si>
    <t>21,22,21,22</t>
  </si>
  <si>
    <t>21,23,21,23</t>
  </si>
  <si>
    <t>21,24,21,24</t>
  </si>
  <si>
    <t>21,25,21,25</t>
  </si>
  <si>
    <t>21,26,21,26</t>
  </si>
  <si>
    <t>13,11,12,13,11,12,13,11,12</t>
  </si>
  <si>
    <t>18,2</t>
  </si>
  <si>
    <t>Blue Ninja, Ukai Magoroku</t>
  </si>
  <si>
    <t>15,1</t>
  </si>
  <si>
    <t>25,9</t>
  </si>
  <si>
    <t>26,19</t>
  </si>
  <si>
    <t>Earth-Rending Emperor, Siegfried</t>
  </si>
  <si>
    <t>Asuka&amp;Eva Unit-02</t>
  </si>
  <si>
    <t>Asuka&amp;Upgraded Eva Unit-02</t>
  </si>
  <si>
    <t>22,14,10</t>
  </si>
  <si>
    <t>Shinji&amp;Eva Unit-01</t>
  </si>
  <si>
    <t>Awoken Shinji&amp;Eva Unit-01</t>
  </si>
  <si>
    <t>23,15,9</t>
  </si>
  <si>
    <t>Mari&amp;Eva Provisional Unit-05</t>
  </si>
  <si>
    <t>All right, understood!</t>
  </si>
  <si>
    <t>Mari&amp;Eva Unit-08</t>
  </si>
  <si>
    <t>24,16,24</t>
  </si>
  <si>
    <t>Rei&amp;Eva Unit-00</t>
  </si>
  <si>
    <t>Rei&amp;Eva Unit-00, Suicide ATK Mode</t>
  </si>
  <si>
    <t>25,17,9</t>
  </si>
  <si>
    <t>Kaworu&amp;Mark06, Under Construction</t>
  </si>
  <si>
    <t>Kaworu&amp;Mark.06</t>
  </si>
  <si>
    <t>26,18,19</t>
  </si>
  <si>
    <t>Shinji&amp;Kaworu&amp;Unit-13</t>
  </si>
  <si>
    <t>Time has come...</t>
  </si>
  <si>
    <t>Awoken Shinji&amp;Kaworu&amp;Unit-13</t>
  </si>
  <si>
    <t>23,26,27,21</t>
  </si>
  <si>
    <t>The Fifth Angel</t>
  </si>
  <si>
    <t>The Fifth Angel - Assault Mode</t>
  </si>
  <si>
    <t>The Sixth Angel</t>
  </si>
  <si>
    <t>The Sixth Angel - Assault Mode</t>
  </si>
  <si>
    <t>The Tenth Angel</t>
  </si>
  <si>
    <t>The Tenth Angel - Assault Mode</t>
  </si>
  <si>
    <t>The Fourth Angel</t>
  </si>
  <si>
    <t>The Fourth Angel - Assault Mode</t>
  </si>
  <si>
    <t>14,16,17,22</t>
  </si>
  <si>
    <t>15,16,18,23</t>
  </si>
  <si>
    <t>16,17,18,24</t>
  </si>
  <si>
    <t>17,12,11,28</t>
  </si>
  <si>
    <t>18,14,15,26</t>
  </si>
  <si>
    <t>An Ability Awakens!</t>
  </si>
  <si>
    <t>Samba Ruby Dragon</t>
  </si>
  <si>
    <t>14,9,9,22</t>
  </si>
  <si>
    <t>15,16,27,11</t>
  </si>
  <si>
    <t>16,20,2,28</t>
  </si>
  <si>
    <t>17,3,2,28</t>
  </si>
  <si>
    <t>18,3,21,28</t>
  </si>
  <si>
    <t>Burning Phoenix Knight, Homura</t>
  </si>
  <si>
    <t>Torrential Fenrir Knight, Kamui</t>
  </si>
  <si>
    <t>Ancient Dragon Knight, Zeal</t>
  </si>
  <si>
    <t>Godly Knight of the Sky, Verche</t>
  </si>
  <si>
    <t>Chaos Dragon Knight, Voice</t>
  </si>
  <si>
    <t>22,21</t>
  </si>
  <si>
    <t>28,28</t>
  </si>
  <si>
    <t>14,13</t>
  </si>
  <si>
    <t>26,28,21</t>
  </si>
  <si>
    <t>22,14,21</t>
  </si>
  <si>
    <t>23,10,21</t>
  </si>
  <si>
    <t>25,25,21</t>
  </si>
  <si>
    <t>24,19,21</t>
  </si>
  <si>
    <t>14,22,14,13</t>
  </si>
  <si>
    <t>16,24,25,13</t>
  </si>
  <si>
    <t>10,9,10,9</t>
  </si>
  <si>
    <t>Gold Pirate Dragon, Anne &amp; Mary</t>
  </si>
  <si>
    <t>Black Pirate Dragon, Blackbeard</t>
  </si>
  <si>
    <t>Serpent God Demon, Viper Orochi</t>
  </si>
  <si>
    <t>17,19,19,28</t>
  </si>
  <si>
    <t>Inferno Deity Falcon, Horus</t>
  </si>
  <si>
    <t>Blazing Deity Falcon, Horus</t>
  </si>
  <si>
    <t>4,5,19,28</t>
  </si>
  <si>
    <t>Blue Moon Sea Deity, Isis</t>
  </si>
  <si>
    <t>Shining Sea Deity, Isis</t>
  </si>
  <si>
    <t>15,17,10,10</t>
  </si>
  <si>
    <t>Dark Sun Deity, Ra</t>
  </si>
  <si>
    <t>Pure Light Sun Deity, Ra</t>
  </si>
  <si>
    <t>7,19,10,11</t>
  </si>
  <si>
    <t>Abyssal Hell Deity Jackal, Anubis</t>
  </si>
  <si>
    <t>Deathly Hell Deity Jackal, Anubis</t>
  </si>
  <si>
    <t>Baby TAMADRA</t>
  </si>
  <si>
    <t>Present Egg (Light)</t>
  </si>
  <si>
    <t>Present Egg (Dark)</t>
  </si>
  <si>
    <t>Snow Globe Dragon Blanc</t>
  </si>
  <si>
    <t>Snow Globe Dragon Noir</t>
  </si>
  <si>
    <t>Gold Pirate</t>
  </si>
  <si>
    <t>Black Pirate</t>
  </si>
  <si>
    <t>Dragon Zombie</t>
  </si>
  <si>
    <t>Abyssal Guard</t>
  </si>
  <si>
    <t>Deadrise</t>
  </si>
  <si>
    <t>Corpse Wyrm, Dragon Zombie</t>
  </si>
  <si>
    <t>Bone Fish</t>
  </si>
  <si>
    <t>Devil Fish</t>
  </si>
  <si>
    <t>22,20,21,28</t>
  </si>
  <si>
    <t>23,20,21,28</t>
  </si>
  <si>
    <t>24,20,21,28</t>
  </si>
  <si>
    <t>25,20,21,28</t>
  </si>
  <si>
    <t>26,20,21,28</t>
  </si>
  <si>
    <t>Hurricane Volcano Dragon</t>
  </si>
  <si>
    <t>Fire Dragon's Protection</t>
  </si>
  <si>
    <t>Blast Aurora Dragon</t>
  </si>
  <si>
    <t>Water Dragon's Protection</t>
  </si>
  <si>
    <t>Water Twin Star Leviathan</t>
  </si>
  <si>
    <t>Wind Twin Star Fafnir</t>
  </si>
  <si>
    <t>Heracles</t>
  </si>
  <si>
    <t>Gigantic Force</t>
  </si>
  <si>
    <t>Overcoming Hardship</t>
  </si>
  <si>
    <t>Champion of Olympus, Heracles</t>
  </si>
  <si>
    <t>9,26,19</t>
  </si>
  <si>
    <t>Phantom God, Odin</t>
  </si>
  <si>
    <t>Awoken Phantom God, Odin</t>
  </si>
  <si>
    <t>Flame Twin Star Ifrit</t>
  </si>
  <si>
    <t>Twin Fire Spiral</t>
  </si>
  <si>
    <t>Light Twin Star Divinegon</t>
  </si>
  <si>
    <t>Twin Light Spiral</t>
  </si>
  <si>
    <t>Dark Twin Star Tiamat</t>
  </si>
  <si>
    <t>Twin Dark Spiral</t>
  </si>
  <si>
    <t>Karmic Destroyer, Shiva</t>
  </si>
  <si>
    <t>Inferno God's Meditation</t>
  </si>
  <si>
    <t>Demolishing Creator, Shiva</t>
  </si>
  <si>
    <t>Blast God's Impulse</t>
  </si>
  <si>
    <t>Heavenly Fortune Goddess, Lakshmi</t>
  </si>
  <si>
    <t>Fortune God's Blessing</t>
  </si>
  <si>
    <t>Purple Lotus Chanter, Lakshmi</t>
  </si>
  <si>
    <t>Water Goddess' Secret Song</t>
  </si>
  <si>
    <t>White Hot Dancing Goddess, Parvati</t>
  </si>
  <si>
    <t>Holy Beast God's Rally</t>
  </si>
  <si>
    <t>Jade Oracle, Parvati</t>
  </si>
  <si>
    <t>Mountain God's Invocation</t>
  </si>
  <si>
    <t>Keeper of Gold</t>
  </si>
  <si>
    <t>Heal Barrier</t>
  </si>
  <si>
    <t>ドラゴンネッキー</t>
  </si>
  <si>
    <t>ファミ通Appの逆鱗</t>
  </si>
  <si>
    <t>ファミ通Appの声援</t>
  </si>
  <si>
    <t>7,16,24</t>
  </si>
  <si>
    <t>1,21</t>
  </si>
  <si>
    <t>Blazing Shrine Maiden, Chiyome</t>
  </si>
  <si>
    <t>Secret of the Shrine Maiden's Dance</t>
  </si>
  <si>
    <t>Thunder Horn Master, Fuma Kotaro</t>
  </si>
  <si>
    <t>Secret of Physical Training</t>
  </si>
  <si>
    <t>Moonlit Shadow, Hattori Hanzo</t>
  </si>
  <si>
    <t>Secret of the Eight Ninja Arts</t>
  </si>
  <si>
    <t>空の王・リオレウス＆レウスネコ</t>
  </si>
  <si>
    <t>火竜の怒号</t>
  </si>
  <si>
    <t>陸の女王・リオレイア＆レイアネコ</t>
  </si>
  <si>
    <t>雌火竜の品格</t>
  </si>
  <si>
    <t>覚醒秘神オーディン猫</t>
  </si>
  <si>
    <t>秘神オーディンハット</t>
  </si>
  <si>
    <t>魔槍ぐんぐにーるニャ！</t>
  </si>
  <si>
    <t>覚醒秘神オーディン＆オーディン猫</t>
  </si>
  <si>
    <t>23,23,21,21,26</t>
  </si>
  <si>
    <t>Asuka&amp;Upgraded Eva Unit-02, Code 777</t>
  </si>
  <si>
    <t>Code 777</t>
  </si>
  <si>
    <t>Shinji&amp;Kaworu&amp;Unit-13, FI</t>
  </si>
  <si>
    <t>Fourth Impact</t>
  </si>
  <si>
    <t>Misato&amp;AAA Wunder</t>
  </si>
  <si>
    <t>Ship of Hope</t>
  </si>
  <si>
    <t>Emergency Launch!</t>
  </si>
  <si>
    <t>Misato&amp;AAA Wunder, Powered Up</t>
  </si>
  <si>
    <t>22,14,21,10</t>
  </si>
  <si>
    <t>The Ninth Angel</t>
  </si>
  <si>
    <t>Gnawing Fear</t>
  </si>
  <si>
    <t>The Ninth Angel - Assault Mode</t>
  </si>
  <si>
    <t>28,26</t>
  </si>
  <si>
    <t>24,21</t>
  </si>
  <si>
    <t>26,21</t>
  </si>
  <si>
    <t>Dragon Emperor, Buster Siegfried</t>
  </si>
  <si>
    <t>Draconic Brightness</t>
  </si>
  <si>
    <t>Wolf Hero, Ignis Cu Chulainn</t>
  </si>
  <si>
    <t>Wolf Speed</t>
  </si>
  <si>
    <t>3,1,2,18,26,21</t>
  </si>
  <si>
    <t>17,12,11,28,17,21,19</t>
  </si>
  <si>
    <t>BAB・バットマン＋SGAct・FB</t>
  </si>
  <si>
    <t>16,11,24</t>
  </si>
  <si>
    <t>Rarity</t>
  </si>
  <si>
    <t>Total Cost:</t>
  </si>
  <si>
    <t>Rarity Score:</t>
  </si>
  <si>
    <t>17,1</t>
  </si>
  <si>
    <t>14,3</t>
  </si>
  <si>
    <t>16,2</t>
  </si>
  <si>
    <t>Domovoi</t>
  </si>
  <si>
    <t>Don Domovoi</t>
  </si>
  <si>
    <t>Don's Survival Tips</t>
  </si>
  <si>
    <t>Grendel</t>
  </si>
  <si>
    <t>Bronzed Grendel</t>
  </si>
  <si>
    <t>Soul of the Giant</t>
  </si>
  <si>
    <t>Hrungnir</t>
  </si>
  <si>
    <t>Pride of the Giants' Chief</t>
  </si>
  <si>
    <t>Cold Wave</t>
  </si>
  <si>
    <t>Absolute Zero Hrungnir</t>
  </si>
  <si>
    <t>Sea God's Songstress, Siren</t>
  </si>
  <si>
    <t>Eternal Song</t>
  </si>
  <si>
    <t>Moonbeam Fang Witch, Lilith</t>
  </si>
  <si>
    <t>Lunatic Requiem</t>
  </si>
  <si>
    <t>Pitch Black Night Princess, Lilith</t>
  </si>
  <si>
    <t>Eye of Temptation</t>
  </si>
  <si>
    <t>Performance of Judgement</t>
  </si>
  <si>
    <t>25,17,10</t>
  </si>
  <si>
    <t>Hellfire Breath</t>
  </si>
  <si>
    <t>ExFreeze Breath</t>
  </si>
  <si>
    <t>Red Flower Dragon, Barbados</t>
  </si>
  <si>
    <t>Crimson Flame Petals</t>
  </si>
  <si>
    <t>Flame Seed Breath</t>
  </si>
  <si>
    <t>Blue Flower Dragon, Starling</t>
  </si>
  <si>
    <t>Blue Hail Petals</t>
  </si>
  <si>
    <t>Aqua Seed Breath</t>
  </si>
  <si>
    <t>Green Flower Dragon, Casablanca</t>
  </si>
  <si>
    <t>Jade Wind Petals</t>
  </si>
  <si>
    <t>Wind Seed Breath</t>
  </si>
  <si>
    <t>Puchilip</t>
  </si>
  <si>
    <t>Puchirose</t>
  </si>
  <si>
    <t>Puchilium</t>
  </si>
  <si>
    <t>Red Fairy</t>
  </si>
  <si>
    <t>Fire Sprite, Parrot</t>
  </si>
  <si>
    <t>Flame Harmony</t>
  </si>
  <si>
    <t>Blue Fairy</t>
  </si>
  <si>
    <t>Water Sprite, Sharulu</t>
  </si>
  <si>
    <t>Aqua Harmony</t>
  </si>
  <si>
    <t>Green Fairy</t>
  </si>
  <si>
    <t>Wood Sprite, Lily</t>
  </si>
  <si>
    <t>Wind Harmony</t>
  </si>
  <si>
    <t>Hera-Beorc</t>
  </si>
  <si>
    <t>Awoken Hera-Beorc</t>
  </si>
  <si>
    <t>Photosynthesis</t>
  </si>
  <si>
    <t>Dragon Knight's Rage</t>
  </si>
  <si>
    <t>Blue Wind Ninja Princess, Hatsume</t>
  </si>
  <si>
    <t>Secret of the Art of Focus</t>
  </si>
  <si>
    <t>Gusting Prodigy, Sasuke</t>
  </si>
  <si>
    <t>Secret of the Martial Arts</t>
  </si>
  <si>
    <t>5 Mechdragon Fusion, God Canopus</t>
  </si>
  <si>
    <t>Divine Soul</t>
  </si>
  <si>
    <t>5 Mechdragon Combo, Demon Hadar</t>
  </si>
  <si>
    <t>Absolute Chaos</t>
  </si>
  <si>
    <t>The Eternal Bird, Phoenix</t>
  </si>
  <si>
    <t>Immortal Flame</t>
  </si>
  <si>
    <t>Devil of the Depths, Kraken</t>
  </si>
  <si>
    <t>Deepsea Tide</t>
  </si>
  <si>
    <t>Royal Hunting Beast, Griffin</t>
  </si>
  <si>
    <t>Hunting Gale</t>
  </si>
  <si>
    <t>Saintly Maidens' Protector, Unicorn</t>
  </si>
  <si>
    <t>Sacred Assault</t>
  </si>
  <si>
    <t>Underworld Guard Dog, Cerberus</t>
  </si>
  <si>
    <t>Hell Howling</t>
  </si>
  <si>
    <t>Maleficent Dragon Lord Zaerog</t>
  </si>
  <si>
    <t>Rebel Seraph Lucifer</t>
  </si>
  <si>
    <t>Shadowy Proverb</t>
  </si>
  <si>
    <t>Keeper of the Sacred Texts, Metatron</t>
  </si>
  <si>
    <t>9,10,10,21,21,20</t>
  </si>
  <si>
    <t>Crusade Leader</t>
  </si>
  <si>
    <t>Kirin of the Sacred Gleam, Sakuya</t>
  </si>
  <si>
    <t>Gaia</t>
  </si>
  <si>
    <t>Call of Gaia</t>
  </si>
  <si>
    <t>Awoken Gaia</t>
  </si>
  <si>
    <t>Burning Dragon Power</t>
  </si>
  <si>
    <t>Burning Shift</t>
  </si>
  <si>
    <t>14,27,22</t>
  </si>
  <si>
    <t>Purgatory Dragon Emperor Power</t>
  </si>
  <si>
    <t>Freezing Dragon Power</t>
  </si>
  <si>
    <t>Freezing Shift</t>
  </si>
  <si>
    <t>15,27,23</t>
  </si>
  <si>
    <t>Frozen World Dragon Emperor Power</t>
  </si>
  <si>
    <t>Legendary Tactics</t>
  </si>
  <si>
    <t>Carving One's Own Path</t>
  </si>
  <si>
    <t>22,14,28,21</t>
  </si>
  <si>
    <t>Tiger Cub's Boldness</t>
  </si>
  <si>
    <t>Honest Insight</t>
  </si>
  <si>
    <t>23,15,11,21</t>
  </si>
  <si>
    <t>Enthusiastic Volunteer</t>
  </si>
  <si>
    <t>Leading a Comeback</t>
  </si>
  <si>
    <t>24,16,12,21</t>
  </si>
  <si>
    <t>Ascending Dance</t>
  </si>
  <si>
    <t>Selfless Devotion</t>
  </si>
  <si>
    <t>25,23,19,21</t>
  </si>
  <si>
    <t>Eroding Miasma</t>
  </si>
  <si>
    <t>Unparalleled Destructive Strike</t>
  </si>
  <si>
    <t>26,18,10,21</t>
  </si>
  <si>
    <t>Virile Courage</t>
  </si>
  <si>
    <t>Unwavering Faith</t>
  </si>
  <si>
    <t>24,10,21,9,21</t>
  </si>
  <si>
    <t>Flying Dragon's Decorum</t>
  </si>
  <si>
    <t>Solid Fortitude</t>
  </si>
  <si>
    <t>22,9,10,21,9,21</t>
  </si>
  <si>
    <t>25,28,9</t>
  </si>
  <si>
    <t>26,28,9</t>
  </si>
  <si>
    <t>14,16,17,22,25,27,21</t>
  </si>
  <si>
    <t>10,10,21</t>
  </si>
  <si>
    <t>Average Rarity:</t>
  </si>
  <si>
    <t>Nadeshiko's Affection</t>
  </si>
  <si>
    <t>Ancient Draggie Knight, Zeal</t>
  </si>
  <si>
    <t>Cao Cao</t>
  </si>
  <si>
    <t>Conquering Martial Deity, Cao Cao</t>
  </si>
  <si>
    <t>Sun Quan</t>
  </si>
  <si>
    <t>Courageous Divine General, Sun Quan</t>
  </si>
  <si>
    <t>Liu Bei</t>
  </si>
  <si>
    <t>Moral Commanding Deity, Liu Bei</t>
  </si>
  <si>
    <t>Da Qiao &amp; Xiao Qiao</t>
  </si>
  <si>
    <t>Divine Flowers, Da Qiao &amp; Xiao Qiao</t>
  </si>
  <si>
    <t>Lu Bu</t>
  </si>
  <si>
    <t>Divine Flying General, Lu Bu</t>
  </si>
  <si>
    <t>Bearded Deity, Guan Yu</t>
  </si>
  <si>
    <t>Steadfast Bearded Deity, Guan Yu</t>
  </si>
  <si>
    <t>Loyal Deity, Guan Yu</t>
  </si>
  <si>
    <t>Valiant &amp; Loyal Deity, Guan Yu</t>
  </si>
  <si>
    <t>8,9,25</t>
  </si>
  <si>
    <t>15,16,18,23,26,27,21</t>
  </si>
  <si>
    <t>ジャッジゴーレム</t>
  </si>
  <si>
    <t>19,10</t>
  </si>
  <si>
    <t>資格ノ有無ヲ確認スル</t>
  </si>
  <si>
    <t>我ガ力ヲ、行使スル</t>
  </si>
  <si>
    <t>マドロミドラゴン</t>
  </si>
  <si>
    <t>油断大敵じゃ</t>
  </si>
  <si>
    <t>どおれ、本気でいくか</t>
  </si>
  <si>
    <t>カクセイドラゴン</t>
  </si>
  <si>
    <t>行くぞ、人の子よ</t>
  </si>
  <si>
    <t>水無月ヨウ</t>
  </si>
  <si>
    <t>僕の力を見せてやる</t>
  </si>
  <si>
    <t>蒼覇王の援護</t>
  </si>
  <si>
    <t>ヨウ＆カイゼルジークフリート</t>
  </si>
  <si>
    <t>15,28,23,21</t>
  </si>
  <si>
    <t>勝負をかける！</t>
  </si>
  <si>
    <t>牧村チカ</t>
  </si>
  <si>
    <t>最後まで頑張るよっ</t>
  </si>
  <si>
    <t>チカ＆戦女神・ミネルヴァ</t>
  </si>
  <si>
    <t>14,22,21</t>
  </si>
  <si>
    <t>みんな、お願いね！</t>
  </si>
  <si>
    <t>武田ムラクモ</t>
  </si>
  <si>
    <t>いっちょ始めようぜ！</t>
  </si>
  <si>
    <t>ムラクモ＆剛腕の巨人・ギガンテス</t>
  </si>
  <si>
    <t>14,13,22</t>
  </si>
  <si>
    <t>俺こそが最強だ！</t>
  </si>
  <si>
    <t>沖田リオナ</t>
  </si>
  <si>
    <t>真剣勝負、です</t>
  </si>
  <si>
    <t>リオナ＆大海の歌姫・セイレーン</t>
  </si>
  <si>
    <t>15,9,23</t>
  </si>
  <si>
    <t>…………こういうの、好き</t>
  </si>
  <si>
    <t>フォーレン・ラズール</t>
  </si>
  <si>
    <t>私は記憶を取り戻す！</t>
  </si>
  <si>
    <t>フォーレン＆狩猟神・アルテミス</t>
  </si>
  <si>
    <t>16,21,24</t>
  </si>
  <si>
    <t>天は私に味方する</t>
  </si>
  <si>
    <t>パトリシア・エゼル</t>
  </si>
  <si>
    <t>勝利を我が手に</t>
  </si>
  <si>
    <t>パトリシア＆ヴァルキリー</t>
  </si>
  <si>
    <t>17,11,25</t>
  </si>
  <si>
    <t>これが騎士の誇りだ</t>
  </si>
  <si>
    <t>アンリ・ボーラム</t>
  </si>
  <si>
    <t>遊んでおいで</t>
  </si>
  <si>
    <t>アンリ＆カオスデビルドラゴン</t>
  </si>
  <si>
    <t>キミちょっと邪魔だよ</t>
  </si>
  <si>
    <t>ティンニン</t>
  </si>
  <si>
    <t>がんばるの</t>
  </si>
  <si>
    <t>ハイヒール</t>
  </si>
  <si>
    <t>ティンニン＆エンジェル</t>
  </si>
  <si>
    <t>28,9,10,21</t>
  </si>
  <si>
    <t>全力でいくの</t>
  </si>
  <si>
    <t>22,2,24,27,21,27</t>
  </si>
  <si>
    <t>23,2,22,27,28,27</t>
  </si>
  <si>
    <t>24,2,23,27,28,27</t>
  </si>
  <si>
    <t>25,2,26,27,21,27</t>
  </si>
  <si>
    <t>26,2,25,27,28,27</t>
  </si>
  <si>
    <t>P&amp;D TEAM CALCULATOR v.6.4.5 - by Arkaether</t>
  </si>
  <si>
    <t>Current Two-Pronged Awakenings</t>
  </si>
  <si>
    <t>Max Two-Pronged Awakenings</t>
  </si>
  <si>
    <t>Final Damage</t>
  </si>
  <si>
    <t>24,23,21</t>
  </si>
  <si>
    <t>27,1</t>
  </si>
  <si>
    <t>27,3</t>
  </si>
  <si>
    <t>27,2</t>
  </si>
  <si>
    <t>25,19</t>
  </si>
  <si>
    <t>Kozukura</t>
  </si>
  <si>
    <t>Fukuragi</t>
  </si>
  <si>
    <t>Toyama Bay's Blessing</t>
  </si>
  <si>
    <t>Amberjack</t>
  </si>
  <si>
    <t>Toyama Bay's Fortune</t>
  </si>
  <si>
    <t>Fresh!</t>
  </si>
  <si>
    <t>King of Toyama Bay, Amberjack</t>
  </si>
  <si>
    <t>Toyama Bay's Treasure</t>
  </si>
  <si>
    <t>Firefly Squid</t>
  </si>
  <si>
    <t>Mystery of Toyama Bay, Firefly Squid</t>
  </si>
  <si>
    <t>The Flavor of Okizuke Marinade</t>
  </si>
  <si>
    <t>Velvet Shrimp</t>
  </si>
  <si>
    <t>Jewel of Toyama Bay, Velvet Shrimp</t>
  </si>
  <si>
    <t>At Long Last</t>
  </si>
  <si>
    <t>Amitan</t>
  </si>
  <si>
    <t>Amitan's Protection</t>
  </si>
  <si>
    <t>Smiling Palm</t>
  </si>
  <si>
    <t>Amitaka &amp; Kanon &amp; Cecil</t>
  </si>
  <si>
    <t>Sandalphon</t>
  </si>
  <si>
    <t>Eyes of Heaven</t>
  </si>
  <si>
    <t>Awoken Sandalphon</t>
  </si>
  <si>
    <t>Pompurin Dance</t>
  </si>
  <si>
    <t>Orange Flower Dragon, Helianthus</t>
  </si>
  <si>
    <t>Orange Gleam Petals</t>
  </si>
  <si>
    <t>Shine Seed Breath</t>
  </si>
  <si>
    <t>Purple Flower Dragon, Orchid</t>
  </si>
  <si>
    <t>Purple Cloud Petals</t>
  </si>
  <si>
    <t>Dark Seed Breath</t>
  </si>
  <si>
    <t>Puchianthus</t>
  </si>
  <si>
    <t>Puchiorchid</t>
  </si>
  <si>
    <t>Yellow Fairy</t>
  </si>
  <si>
    <t>Light Sprite, Sunrich</t>
  </si>
  <si>
    <t>Shine Harmony</t>
  </si>
  <si>
    <t>Black Fairy</t>
  </si>
  <si>
    <t>Dark Sprite, Cattleya</t>
  </si>
  <si>
    <t>Dark Harmony</t>
  </si>
  <si>
    <t>Himi Udon</t>
  </si>
  <si>
    <t>Secret Traditional Recipe</t>
  </si>
  <si>
    <t>Japan's Top Four Udon</t>
  </si>
  <si>
    <t>Toyama Bay Tradition, Himi Udon</t>
  </si>
  <si>
    <t>Lifestream</t>
  </si>
  <si>
    <t>Twin Dragon, Wangren</t>
  </si>
  <si>
    <t>Flamewing Twin Dragon King, Wangren</t>
  </si>
  <si>
    <t>Twin Dragon, Beyzul</t>
  </si>
  <si>
    <t>Icewing Twin Dragon King, Beyzul</t>
  </si>
  <si>
    <t>Awoken Phantom God, Odin TAMADRA</t>
  </si>
  <si>
    <t>Shining Monk, Xuanzang</t>
  </si>
  <si>
    <t>Dragon Heart Sutra</t>
  </si>
  <si>
    <t>Gleaming-Eyed Dragon Monk, Xuanzang</t>
  </si>
  <si>
    <t>Jewel Dragon's Protective Grace</t>
  </si>
  <si>
    <t>Shadow Monk, Xuanzang</t>
  </si>
  <si>
    <t>Dragon Strength Spellflame</t>
  </si>
  <si>
    <t>Dark-Eyed Dragon Monk, Xuanzang</t>
  </si>
  <si>
    <t>Jewel Dragon's Binding Grace</t>
  </si>
  <si>
    <t>Hera-Sowilo</t>
  </si>
  <si>
    <t>Dawn-Colored Divine Feathers</t>
  </si>
  <si>
    <t>Shining Death Queen's Whisper</t>
  </si>
  <si>
    <t>Awoken Hera-Sowilo</t>
  </si>
  <si>
    <t>Blazing Dragonfire Angel, Uriel</t>
  </si>
  <si>
    <t>Red Angel's Revelation</t>
  </si>
  <si>
    <t>Unyielding Archangel, Michael</t>
  </si>
  <si>
    <t>Green Angel's Revelation</t>
  </si>
  <si>
    <t>Surging Demon Lord, Belial</t>
  </si>
  <si>
    <t>Rumbling Flame Wings</t>
  </si>
  <si>
    <t>Chivalrous Demon Lord, Amon</t>
  </si>
  <si>
    <t>Demonic Ally</t>
  </si>
  <si>
    <t>Divine Flower Suzaku, Leilan</t>
  </si>
  <si>
    <t>Crimson Polar Dance</t>
  </si>
  <si>
    <t>Divine Harbinger Suzaku, Leilan</t>
  </si>
  <si>
    <t>Life Protector Seiryuu, Karin</t>
  </si>
  <si>
    <t>Blue Polar Dance</t>
  </si>
  <si>
    <t>Ethereal Guardian Seiryuu, Karin</t>
  </si>
  <si>
    <t>Burning Maiden, Princess Valkyrie</t>
  </si>
  <si>
    <t>Phoenix Blossom, Graceful Valkyrie</t>
  </si>
  <si>
    <t>Red Mech General, Elder Jotunn</t>
  </si>
  <si>
    <t>Big Bang Impact</t>
  </si>
  <si>
    <t>Blue Mech General, Mar Midgard</t>
  </si>
  <si>
    <t>Hail Storm Shot</t>
  </si>
  <si>
    <t>Green Mech General, Viz Asgard</t>
  </si>
  <si>
    <t>Double Meteor Blow</t>
  </si>
  <si>
    <t>Ancient Blue Sacred Mask</t>
  </si>
  <si>
    <t>Ancient Green Sacred Mask</t>
  </si>
  <si>
    <t>Aubade Gaia</t>
  </si>
  <si>
    <t>Iwato's Dancing Goddess, Amenouzume</t>
  </si>
  <si>
    <t>Sacred Flame Dance</t>
  </si>
  <si>
    <t>Dino Rider, Wild Drake</t>
  </si>
  <si>
    <t>Beast Rider, Wiz Merlin</t>
  </si>
  <si>
    <t>Marine Rider, Bard Robin</t>
  </si>
  <si>
    <t>Dragon Rider, King Arthur</t>
  </si>
  <si>
    <t>Gryps Rider, Vector Finn</t>
  </si>
  <si>
    <t>月夜花</t>
  </si>
  <si>
    <t>火の魔力</t>
  </si>
  <si>
    <t>金色の妖狐・月夜花</t>
  </si>
  <si>
    <t>14,28</t>
  </si>
  <si>
    <t>ハティーベベ</t>
  </si>
  <si>
    <t>水の魔力</t>
  </si>
  <si>
    <t>暴風の牙狼・ハティー</t>
  </si>
  <si>
    <t>15,12</t>
  </si>
  <si>
    <t>ミストレス</t>
  </si>
  <si>
    <t>木の魔力</t>
  </si>
  <si>
    <t>紫電の女王蜂・ミストレス</t>
  </si>
  <si>
    <t>16,13</t>
  </si>
  <si>
    <t>スケゴルト</t>
  </si>
  <si>
    <t>バフォメット</t>
  </si>
  <si>
    <t>冥界の邪神・バフォメット</t>
  </si>
  <si>
    <t>18,11</t>
  </si>
  <si>
    <t>キングマスターリング</t>
  </si>
  <si>
    <t>スーパーラッキー</t>
  </si>
  <si>
    <t>火の宝玉</t>
  </si>
  <si>
    <t>水の宝玉</t>
  </si>
  <si>
    <t>木の宝玉</t>
  </si>
  <si>
    <t>光の宝玉</t>
  </si>
  <si>
    <t>闇の宝玉</t>
  </si>
  <si>
    <t>Fire Resistance Enhance ＜Mid＞</t>
  </si>
  <si>
    <t>Fire Resistance Enhance ＜High＞</t>
  </si>
  <si>
    <t>ゼウス・ヴァルカン</t>
  </si>
  <si>
    <t>レイジ・オブ・ヴァルカン</t>
  </si>
  <si>
    <t>マーズディライト</t>
  </si>
  <si>
    <t>覚醒ゼウス・ヴァルカン</t>
  </si>
  <si>
    <t>冥地鎮の玄武・メイメイ</t>
  </si>
  <si>
    <t>翠極の舞</t>
  </si>
  <si>
    <t>道明守の玄武・メイメイ</t>
  </si>
  <si>
    <t>16,17,18,24,25,27,21</t>
  </si>
  <si>
    <t>焔月輪の白虎・ハク</t>
  </si>
  <si>
    <t>紫極の舞</t>
  </si>
  <si>
    <t>退魔爪の白虎・ハク</t>
  </si>
  <si>
    <t>18,14,15,26,26,27,21</t>
  </si>
  <si>
    <t>天道の皇祖神・イザナギ</t>
  </si>
  <si>
    <t>現世の超神効</t>
  </si>
  <si>
    <t>ワダツミ</t>
  </si>
  <si>
    <t>神海の霊宝</t>
  </si>
  <si>
    <t>時の潮騒</t>
  </si>
  <si>
    <t>覚醒ワダツミ</t>
  </si>
  <si>
    <t>23,10,28</t>
  </si>
  <si>
    <t>ECO・スーパータイニー・アルマ</t>
  </si>
  <si>
    <t>タイニーフラッシュ</t>
  </si>
  <si>
    <t>I LOVE パズドラベア</t>
  </si>
  <si>
    <t>ワンダーベア</t>
  </si>
  <si>
    <t>BEAMSビーム</t>
  </si>
  <si>
    <t>20,10,20,10,11,28,11,28</t>
  </si>
  <si>
    <t>樹龍戦姫・セイントプラン</t>
  </si>
  <si>
    <t>龍戦姫の祝福</t>
  </si>
  <si>
    <t>ブルード</t>
  </si>
  <si>
    <t>GC CRAB Ver.3</t>
  </si>
  <si>
    <t>Blazin' Hot</t>
  </si>
  <si>
    <t>キングデビたま</t>
  </si>
  <si>
    <t>コインいっぱいたまぁ～</t>
  </si>
  <si>
    <t>いじわる</t>
  </si>
  <si>
    <t>星輝の黄龍帝・ファガン</t>
  </si>
  <si>
    <t>真・天極星龍掌</t>
  </si>
  <si>
    <t>4,5,6,9</t>
  </si>
  <si>
    <t>絶冥の黄龍神・ファガン</t>
  </si>
  <si>
    <t>双絶龍神掌</t>
  </si>
  <si>
    <t>4,5,6,21</t>
  </si>
  <si>
    <t>永久の双星神・イズン＆イズーナ</t>
  </si>
  <si>
    <t>双つ星の共鳴</t>
  </si>
  <si>
    <t>エクサ・ヒドラ</t>
  </si>
  <si>
    <t>ドラゴンフォース</t>
  </si>
  <si>
    <t>ゼータ・ヒドラ</t>
  </si>
  <si>
    <t>27,13,21</t>
  </si>
  <si>
    <t>ウッドバーン</t>
  </si>
  <si>
    <t>ドラゴンスピリット</t>
  </si>
  <si>
    <t>グランドハウル</t>
  </si>
  <si>
    <t>フォレストバーン</t>
  </si>
  <si>
    <t>24,12,21</t>
  </si>
  <si>
    <t>雷龍・キリサメ</t>
  </si>
  <si>
    <t>ドラゴンソウル</t>
  </si>
  <si>
    <t>ライトニングハウル</t>
  </si>
  <si>
    <t>幻雷龍・サギリノカミ</t>
  </si>
  <si>
    <t>25,11,21</t>
  </si>
  <si>
    <t>アニマ</t>
  </si>
  <si>
    <t>ドラゴンブレイズ</t>
  </si>
  <si>
    <t>ミラージュフレア</t>
  </si>
  <si>
    <t>幻影龍・アニマ</t>
  </si>
  <si>
    <t>22,28,21</t>
  </si>
  <si>
    <t>カースドラゴン</t>
  </si>
  <si>
    <t>ネクロソウル</t>
  </si>
  <si>
    <t>ブラッドハウル</t>
  </si>
  <si>
    <t>不死龍・カースドラゴン</t>
  </si>
  <si>
    <t>27,9,21</t>
  </si>
  <si>
    <t>焔土の龍騎姫・卑弥呼</t>
  </si>
  <si>
    <t>焔土龍の絆</t>
  </si>
  <si>
    <t>錬成の焔術</t>
  </si>
  <si>
    <t>ファイロン</t>
  </si>
  <si>
    <t>獄羅苦狂魔皇・ベルゼブブ</t>
  </si>
  <si>
    <t>デモンズヘッド</t>
  </si>
  <si>
    <t>18,11,15,10</t>
  </si>
  <si>
    <t>臥龍神・諸葛亮</t>
  </si>
  <si>
    <t>開化の兵法</t>
  </si>
  <si>
    <t>百戦百勝の求道</t>
  </si>
  <si>
    <t>俊才の臥龍神・諸葛亮</t>
  </si>
  <si>
    <t>27,27,28,21,21</t>
  </si>
  <si>
    <t>命龍神・諸葛亮</t>
  </si>
  <si>
    <t>天界の八陣</t>
  </si>
  <si>
    <t>水明星心の占術</t>
  </si>
  <si>
    <t>天星の命龍神・諸葛亮</t>
  </si>
  <si>
    <t>25,28,23,27,27,21</t>
  </si>
  <si>
    <t>フリーザ・第1形態</t>
  </si>
  <si>
    <t>ゆ…ゆるさん…</t>
  </si>
  <si>
    <t>デスボール</t>
  </si>
  <si>
    <t>フリーザ・第2形態</t>
  </si>
  <si>
    <t>そうあわてるなよ…</t>
  </si>
  <si>
    <t>フリーザ・第3形態</t>
  </si>
  <si>
    <t>どぉれちょっと拝見…</t>
  </si>
  <si>
    <t>フリーザ・最終形態</t>
  </si>
  <si>
    <t>お待ちかね100パーセント!</t>
  </si>
  <si>
    <t>ザーボン</t>
  </si>
  <si>
    <t>うぬぼれやがって……!</t>
  </si>
  <si>
    <t>変身</t>
  </si>
  <si>
    <t>フリーザの側近・ザーボン</t>
  </si>
  <si>
    <t>笑わせるんじゃない!!</t>
  </si>
  <si>
    <t>リクーム</t>
  </si>
  <si>
    <t>リクーム!!!</t>
  </si>
  <si>
    <t>ギニュー特戦隊・リクーム</t>
  </si>
  <si>
    <t>あの世に送ってやるぜ!!!</t>
  </si>
  <si>
    <t>リクーム…ウルトラ…</t>
  </si>
  <si>
    <t>7,1</t>
  </si>
  <si>
    <t>バータ</t>
  </si>
  <si>
    <t>バータ!!!</t>
  </si>
  <si>
    <t>ギニュー特戦隊・バータ</t>
  </si>
  <si>
    <t>ア…アタマにきたぜ…!</t>
  </si>
  <si>
    <t>マッハキック</t>
  </si>
  <si>
    <t>15,2</t>
  </si>
  <si>
    <t>ジース</t>
  </si>
  <si>
    <t>ジース!!!</t>
  </si>
  <si>
    <t>ギニュー特戦隊・ジース</t>
  </si>
  <si>
    <t>ちっ…しょうがないな……</t>
  </si>
  <si>
    <t>クラッシャーボール</t>
  </si>
  <si>
    <t>グルド</t>
  </si>
  <si>
    <t>グルド!!!</t>
  </si>
  <si>
    <t>ギニュー特戦隊・グルド</t>
  </si>
  <si>
    <t>きええええーっ!!!!</t>
  </si>
  <si>
    <t>サイコキネシス</t>
  </si>
  <si>
    <t>6,6</t>
  </si>
  <si>
    <t>ギニュー</t>
  </si>
  <si>
    <t>ギニュー特戦隊・ギニュー</t>
  </si>
  <si>
    <t>ギニュー特戦隊!!!!</t>
  </si>
  <si>
    <t>ミルキーキャノン</t>
  </si>
  <si>
    <t>12,2</t>
  </si>
  <si>
    <t>サイバイマン</t>
  </si>
  <si>
    <t>自爆</t>
  </si>
  <si>
    <t>カリン様</t>
  </si>
  <si>
    <t>仙豆</t>
  </si>
  <si>
    <t>孫 悟空</t>
  </si>
  <si>
    <t>おめえをぶったおす!!!</t>
  </si>
  <si>
    <t>かめはめ波</t>
  </si>
  <si>
    <t>超サイヤ人・孫 悟空</t>
  </si>
  <si>
    <t>22,25,10,21</t>
  </si>
  <si>
    <t>孫 悟飯</t>
  </si>
  <si>
    <t>もうゆるさないぞ</t>
  </si>
  <si>
    <t>超かめはめ波</t>
  </si>
  <si>
    <t>超サイヤ人・孫 悟飯</t>
  </si>
  <si>
    <t>23,25,27,21</t>
  </si>
  <si>
    <t>ベジータ</t>
  </si>
  <si>
    <t>なめるなよーっ!!!!</t>
  </si>
  <si>
    <t>ファイナルフラッシュ</t>
  </si>
  <si>
    <t>超サイヤ人・ベジータ</t>
  </si>
  <si>
    <t>26,25,27,21</t>
  </si>
  <si>
    <t>トランクス</t>
  </si>
  <si>
    <t>くたばれ!!!!!</t>
  </si>
  <si>
    <t>必殺剣</t>
  </si>
  <si>
    <t>超サイヤ人・トランクス</t>
  </si>
  <si>
    <t>23,25,28,21</t>
  </si>
  <si>
    <t>ピッコロ</t>
  </si>
  <si>
    <t>うけてみろーっ!!!!!</t>
  </si>
  <si>
    <t>魔貫光殺砲</t>
  </si>
  <si>
    <t>ナメック戦士・ピッコロ</t>
  </si>
  <si>
    <t>27,27,21</t>
  </si>
  <si>
    <t>クリリン</t>
  </si>
  <si>
    <t>こんにゃろーっ!!!!!</t>
  </si>
  <si>
    <t>気円斬</t>
  </si>
  <si>
    <t>地球戦士・クリリン</t>
  </si>
  <si>
    <t>27,11,21</t>
  </si>
  <si>
    <t>ヤムチャ</t>
  </si>
  <si>
    <t>意地でも勝ってみせるぜ</t>
  </si>
  <si>
    <t>繰気弾</t>
  </si>
  <si>
    <t>地球戦士・ヤムチャ</t>
  </si>
  <si>
    <t>14,19,21</t>
  </si>
  <si>
    <t>天津飯</t>
  </si>
  <si>
    <t>さあこいよ!</t>
  </si>
  <si>
    <t>気功砲</t>
  </si>
  <si>
    <t>地球戦士・天津飯</t>
  </si>
  <si>
    <t>餃子</t>
  </si>
  <si>
    <t>おどろけ　攻撃してやる</t>
  </si>
  <si>
    <t>どどん波</t>
  </si>
  <si>
    <t>地球戦士・餃子</t>
  </si>
  <si>
    <t>聖都の守護神・アテナ</t>
  </si>
  <si>
    <t>ニケの聖歌</t>
  </si>
  <si>
    <t>11,27,11,27,24,21</t>
  </si>
  <si>
    <t>光槍の魔術神・オーディン</t>
  </si>
  <si>
    <t>21,10,10,21,9,9,9,9</t>
  </si>
  <si>
    <t>青銅聖闘士・星矢</t>
  </si>
  <si>
    <t>全力でたおすだけだぜ！</t>
  </si>
  <si>
    <t>ペガサス流星拳</t>
  </si>
  <si>
    <t>青銅聖闘士・天馬星座の星矢</t>
  </si>
  <si>
    <t>燃えろ　オレの小宇宙よ！</t>
  </si>
  <si>
    <t>27,17,21</t>
  </si>
  <si>
    <t>青銅聖闘士・氷河</t>
  </si>
  <si>
    <t>かならずたおしてみせる！</t>
  </si>
  <si>
    <t>ダイヤモンドダスト</t>
  </si>
  <si>
    <t>青銅聖闘士・白鳥星座の氷河</t>
  </si>
  <si>
    <t>舞え白鳥!!</t>
  </si>
  <si>
    <t>23,15,21</t>
  </si>
  <si>
    <t>青銅聖闘士・紫龍</t>
  </si>
  <si>
    <t>正義とは不変のもの</t>
  </si>
  <si>
    <t>廬山昇龍覇</t>
  </si>
  <si>
    <t>青銅聖闘士・龍星座の紫龍</t>
  </si>
  <si>
    <t>のぼれ龍よ!天高く!!</t>
  </si>
  <si>
    <t>24,16,21</t>
  </si>
  <si>
    <t>青銅聖闘士・瞬</t>
  </si>
  <si>
    <t>ぼくはいかなければ…</t>
  </si>
  <si>
    <t>ネビュラチェーン</t>
  </si>
  <si>
    <t>青銅聖闘士・アンドロメダ星座の瞬</t>
  </si>
  <si>
    <t>今度はぼくが相手だ！</t>
  </si>
  <si>
    <t>22,27,21</t>
  </si>
  <si>
    <t>青銅聖闘士・一輝</t>
  </si>
  <si>
    <t>今度はおまえの番だぜ</t>
  </si>
  <si>
    <t>鳳翼天翔</t>
  </si>
  <si>
    <t>青銅聖闘士・鳳凰星座の一輝</t>
  </si>
  <si>
    <t>最後にはおまえをたおす!!</t>
  </si>
  <si>
    <t>22,9,9,21</t>
  </si>
  <si>
    <t>グラード財団令嬢・沙織</t>
  </si>
  <si>
    <t>わたしひとりでも戦います</t>
  </si>
  <si>
    <t>黄金の杖</t>
  </si>
  <si>
    <t>アテナの化身・沙織</t>
  </si>
  <si>
    <t>わたしの星の運命なのです</t>
  </si>
  <si>
    <t>25,28,21,21</t>
  </si>
  <si>
    <t>黄金聖闘士・星矢</t>
  </si>
  <si>
    <t>そこをどけ!!</t>
  </si>
  <si>
    <t>ペガサス彗星拳</t>
  </si>
  <si>
    <t>黄金聖闘士・射手座の星矢</t>
  </si>
  <si>
    <t>燃えろ天馬!!</t>
  </si>
  <si>
    <t>27,27,11,21</t>
  </si>
  <si>
    <t>黄金聖闘士・アルデバラン</t>
  </si>
  <si>
    <t>黄金の角をヘシおるだと？</t>
  </si>
  <si>
    <t>黄金聖闘士・牡牛座のアルデバラン</t>
  </si>
  <si>
    <t>グレートホーン!!</t>
  </si>
  <si>
    <t>14,2</t>
  </si>
  <si>
    <t>黄金聖闘士・サガ</t>
  </si>
  <si>
    <t>息の根をとめてやるぞ！</t>
  </si>
  <si>
    <t>アナザーディメンション</t>
  </si>
  <si>
    <t>黄金聖闘士・双子座のサガ</t>
  </si>
  <si>
    <t>おれは神だ!!</t>
  </si>
  <si>
    <t>26,27</t>
  </si>
  <si>
    <t>黄金聖闘士・デスマスク</t>
  </si>
  <si>
    <t>往生際の悪いヤツだ！</t>
  </si>
  <si>
    <t>黄金聖闘士・蟹座のデスマスク</t>
  </si>
  <si>
    <t>積尸気冥界波!!</t>
  </si>
  <si>
    <t>黄金聖闘士・アイオリア</t>
  </si>
  <si>
    <t>うけろ獅子の牙を</t>
  </si>
  <si>
    <t>黄金聖闘士・獅子座のアイオリア</t>
  </si>
  <si>
    <t>ライトニングボルト!!</t>
  </si>
  <si>
    <t>17,27</t>
  </si>
  <si>
    <t>黄金聖闘士・シャカ</t>
  </si>
  <si>
    <t>それが天罰というものだ</t>
  </si>
  <si>
    <t>黄金聖闘士・乙女座のシャカ</t>
  </si>
  <si>
    <t>天舞宝輪!!</t>
  </si>
  <si>
    <t>黄金聖闘士・ミロ</t>
  </si>
  <si>
    <t>降伏か死か…</t>
  </si>
  <si>
    <t>黄金聖闘士・蠍座のミロ</t>
  </si>
  <si>
    <t>スカーレットニードル!!</t>
  </si>
  <si>
    <t>黄金聖闘士・シュラ</t>
  </si>
  <si>
    <t>後悔するぞ小僧!!</t>
  </si>
  <si>
    <t>黄金聖闘士・山羊座のシュラ</t>
  </si>
  <si>
    <t>エクスカリバー!!</t>
  </si>
  <si>
    <t>16,12</t>
  </si>
  <si>
    <t>黄金聖闘士・カミュ</t>
  </si>
  <si>
    <t>安らかに眠るのだ</t>
  </si>
  <si>
    <t>黄金聖闘士・水瓶座のカミュ</t>
  </si>
  <si>
    <t>Aエクスキューション!!</t>
  </si>
  <si>
    <t>15,28</t>
  </si>
  <si>
    <t>黄金聖闘士・アフロディーテ</t>
  </si>
  <si>
    <t>フッ笑止な！</t>
  </si>
  <si>
    <t>黄金聖闘士・魚座のアフロディーテ</t>
  </si>
  <si>
    <t>ブラッディローズ!!</t>
  </si>
  <si>
    <t>15,13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</si>
</sst>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sz val="14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20"/>
      <color theme="1"/>
      <name val="Calibri"/>
      <family val="2"/>
      <scheme val="minor"/>
    </font>
    <font>
      <sz val="14"/>
      <color rgb="FFFF66FF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0" xfId="0" applyAlignment="1">
      <alignment horizontal="right"/>
    </xf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1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8" xfId="0" applyBorder="1"/>
    <xf numFmtId="0" fontId="0" fillId="0" borderId="10" xfId="0" applyBorder="1"/>
    <xf numFmtId="0" fontId="1" fillId="0" borderId="0" xfId="0" applyFont="1" applyFill="1" applyBorder="1"/>
    <xf numFmtId="0" fontId="0" fillId="0" borderId="0" xfId="0" applyFont="1" applyFill="1" applyBorder="1"/>
    <xf numFmtId="0" fontId="0" fillId="0" borderId="13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2" fillId="0" borderId="3" xfId="0" applyFont="1" applyBorder="1"/>
    <xf numFmtId="0" fontId="2" fillId="0" borderId="14" xfId="0" applyFont="1" applyBorder="1"/>
    <xf numFmtId="0" fontId="1" fillId="0" borderId="8" xfId="0" applyFont="1" applyBorder="1"/>
    <xf numFmtId="0" fontId="0" fillId="0" borderId="14" xfId="0" applyBorder="1"/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6" xfId="0" applyFont="1" applyFill="1" applyBorder="1"/>
    <xf numFmtId="0" fontId="2" fillId="2" borderId="3" xfId="0" applyFont="1" applyFill="1" applyBorder="1"/>
    <xf numFmtId="0" fontId="2" fillId="0" borderId="3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 wrapText="1"/>
    </xf>
    <xf numFmtId="0" fontId="7" fillId="2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3" fillId="3" borderId="5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right"/>
    </xf>
    <xf numFmtId="0" fontId="0" fillId="0" borderId="0" xfId="0" applyNumberFormat="1"/>
    <xf numFmtId="0" fontId="1" fillId="3" borderId="5" xfId="0" applyFont="1" applyFill="1" applyBorder="1" applyAlignment="1">
      <alignment horizontal="left"/>
    </xf>
    <xf numFmtId="0" fontId="11" fillId="2" borderId="3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left"/>
    </xf>
    <xf numFmtId="0" fontId="13" fillId="2" borderId="24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5" xfId="0" applyFont="1" applyFill="1" applyBorder="1" applyAlignment="1">
      <alignment horizontal="center"/>
    </xf>
    <xf numFmtId="0" fontId="13" fillId="2" borderId="26" xfId="0" applyFont="1" applyFill="1" applyBorder="1" applyAlignment="1">
      <alignment horizontal="center"/>
    </xf>
    <xf numFmtId="0" fontId="13" fillId="2" borderId="27" xfId="0" applyFont="1" applyFill="1" applyBorder="1" applyAlignment="1">
      <alignment horizontal="center"/>
    </xf>
    <xf numFmtId="0" fontId="13" fillId="2" borderId="29" xfId="0" applyFont="1" applyFill="1" applyBorder="1" applyAlignment="1">
      <alignment horizontal="center"/>
    </xf>
    <xf numFmtId="0" fontId="14" fillId="2" borderId="22" xfId="0" applyFont="1" applyFill="1" applyBorder="1" applyAlignment="1">
      <alignment horizontal="center"/>
    </xf>
    <xf numFmtId="0" fontId="14" fillId="2" borderId="23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31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center"/>
    </xf>
    <xf numFmtId="0" fontId="1" fillId="0" borderId="2" xfId="0" applyFont="1" applyBorder="1"/>
    <xf numFmtId="0" fontId="0" fillId="2" borderId="3" xfId="0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49" fontId="0" fillId="2" borderId="3" xfId="0" applyNumberFormat="1" applyFont="1" applyFill="1" applyBorder="1"/>
    <xf numFmtId="0" fontId="13" fillId="0" borderId="2" xfId="0" applyFont="1" applyFill="1" applyBorder="1" applyAlignment="1">
      <alignment horizontal="center"/>
    </xf>
    <xf numFmtId="49" fontId="0" fillId="0" borderId="9" xfId="0" applyNumberFormat="1" applyFont="1" applyFill="1" applyBorder="1"/>
    <xf numFmtId="49" fontId="0" fillId="0" borderId="14" xfId="0" applyNumberFormat="1" applyFont="1" applyFill="1" applyBorder="1"/>
    <xf numFmtId="9" fontId="0" fillId="2" borderId="3" xfId="0" applyNumberFormat="1" applyFill="1" applyBorder="1" applyAlignment="1">
      <alignment horizontal="center"/>
    </xf>
    <xf numFmtId="0" fontId="0" fillId="0" borderId="14" xfId="0" applyFill="1" applyBorder="1"/>
    <xf numFmtId="164" fontId="2" fillId="2" borderId="3" xfId="0" applyNumberFormat="1" applyFont="1" applyFill="1" applyBorder="1" applyAlignment="1">
      <alignment horizontal="center"/>
    </xf>
    <xf numFmtId="1" fontId="2" fillId="2" borderId="3" xfId="0" applyNumberFormat="1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3" borderId="11" xfId="0" applyFill="1" applyBorder="1"/>
    <xf numFmtId="0" fontId="1" fillId="0" borderId="4" xfId="0" applyFont="1" applyBorder="1"/>
    <xf numFmtId="0" fontId="0" fillId="2" borderId="3" xfId="0" applyFont="1" applyFill="1" applyBorder="1"/>
    <xf numFmtId="0" fontId="0" fillId="4" borderId="3" xfId="0" applyFont="1" applyFill="1" applyBorder="1" applyAlignment="1">
      <alignment horizontal="center"/>
    </xf>
    <xf numFmtId="0" fontId="13" fillId="4" borderId="3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2" borderId="1" xfId="0" applyFont="1" applyFill="1" applyBorder="1"/>
    <xf numFmtId="0" fontId="0" fillId="2" borderId="3" xfId="0" applyFont="1" applyFill="1" applyBorder="1" applyAlignment="1">
      <alignment horizontal="left"/>
    </xf>
    <xf numFmtId="0" fontId="0" fillId="2" borderId="3" xfId="0" applyFill="1" applyBorder="1"/>
    <xf numFmtId="0" fontId="1" fillId="2" borderId="3" xfId="0" applyFont="1" applyFill="1" applyBorder="1" applyAlignment="1">
      <alignment horizontal="left"/>
    </xf>
    <xf numFmtId="49" fontId="0" fillId="0" borderId="3" xfId="0" applyNumberFormat="1" applyFont="1" applyFill="1" applyBorder="1"/>
    <xf numFmtId="0" fontId="0" fillId="0" borderId="3" xfId="0" applyFont="1" applyFill="1" applyBorder="1"/>
    <xf numFmtId="0" fontId="0" fillId="0" borderId="3" xfId="0" applyFill="1" applyBorder="1"/>
    <xf numFmtId="0" fontId="1" fillId="2" borderId="14" xfId="0" applyFont="1" applyFill="1" applyBorder="1" applyAlignment="1">
      <alignment horizontal="left"/>
    </xf>
    <xf numFmtId="0" fontId="1" fillId="2" borderId="3" xfId="0" applyFont="1" applyFill="1" applyBorder="1" applyAlignment="1">
      <alignment vertical="center"/>
    </xf>
    <xf numFmtId="0" fontId="0" fillId="2" borderId="12" xfId="0" applyFill="1" applyBorder="1"/>
    <xf numFmtId="49" fontId="0" fillId="2" borderId="12" xfId="0" applyNumberFormat="1" applyFill="1" applyBorder="1"/>
    <xf numFmtId="49" fontId="0" fillId="2" borderId="7" xfId="0" applyNumberFormat="1" applyFill="1" applyBorder="1"/>
    <xf numFmtId="49" fontId="0" fillId="2" borderId="38" xfId="0" applyNumberFormat="1" applyFill="1" applyBorder="1"/>
    <xf numFmtId="0" fontId="0" fillId="2" borderId="12" xfId="0" applyFont="1" applyFill="1" applyBorder="1"/>
    <xf numFmtId="0" fontId="0" fillId="2" borderId="37" xfId="0" applyFont="1" applyFill="1" applyBorder="1"/>
    <xf numFmtId="0" fontId="0" fillId="2" borderId="39" xfId="0" applyFill="1" applyBorder="1"/>
    <xf numFmtId="0" fontId="0" fillId="2" borderId="6" xfId="0" applyFill="1" applyBorder="1"/>
    <xf numFmtId="0" fontId="0" fillId="2" borderId="37" xfId="0" applyFill="1" applyBorder="1"/>
    <xf numFmtId="0" fontId="0" fillId="4" borderId="12" xfId="0" applyFill="1" applyBorder="1"/>
    <xf numFmtId="0" fontId="0" fillId="4" borderId="37" xfId="0" applyFill="1" applyBorder="1"/>
    <xf numFmtId="0" fontId="0" fillId="0" borderId="1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2" xfId="0" applyFont="1" applyFill="1" applyBorder="1"/>
    <xf numFmtId="0" fontId="0" fillId="4" borderId="41" xfId="0" applyFont="1" applyFill="1" applyBorder="1"/>
    <xf numFmtId="0" fontId="0" fillId="4" borderId="7" xfId="0" applyFont="1" applyFill="1" applyBorder="1"/>
    <xf numFmtId="0" fontId="0" fillId="4" borderId="38" xfId="0" applyFont="1" applyFill="1" applyBorder="1"/>
    <xf numFmtId="0" fontId="0" fillId="4" borderId="37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49" xfId="0" applyFill="1" applyBorder="1" applyAlignment="1">
      <alignment horizontal="center"/>
    </xf>
    <xf numFmtId="0" fontId="10" fillId="2" borderId="16" xfId="0" quotePrefix="1" applyFont="1" applyFill="1" applyBorder="1" applyAlignment="1">
      <alignment horizontal="center"/>
    </xf>
    <xf numFmtId="0" fontId="10" fillId="2" borderId="17" xfId="0" quotePrefix="1" applyFont="1" applyFill="1" applyBorder="1" applyAlignment="1">
      <alignment horizontal="center"/>
    </xf>
    <xf numFmtId="0" fontId="10" fillId="2" borderId="18" xfId="0" quotePrefix="1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</cellXfs>
  <cellStyles count="1">
    <cellStyle name="Normal" xfId="0" builtinId="0"/>
  </cellStyles>
  <dxfs count="222"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00B050"/>
      </font>
    </dxf>
    <dxf>
      <font>
        <color theme="9" tint="-0.24994659260841701"/>
      </font>
    </dxf>
    <dxf>
      <font>
        <color rgb="FF7030A0"/>
      </font>
    </dxf>
    <dxf>
      <font>
        <color theme="1"/>
      </font>
    </dxf>
  </dxfs>
  <tableStyles count="0" defaultTableStyle="TableStyleMedium2" defaultPivotStyle="PivotStyleLight16"/>
  <colors>
    <mruColors>
      <color rgb="FFCCE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</xdr:row>
          <xdr:rowOff>0</xdr:rowOff>
        </xdr:from>
        <xdr:to>
          <xdr:col>0</xdr:col>
          <xdr:colOff>2152650</xdr:colOff>
          <xdr:row>2</xdr:row>
          <xdr:rowOff>190500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68</xdr:row>
          <xdr:rowOff>28575</xdr:rowOff>
        </xdr:from>
        <xdr:to>
          <xdr:col>0</xdr:col>
          <xdr:colOff>2162175</xdr:colOff>
          <xdr:row>68</xdr:row>
          <xdr:rowOff>219075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Combo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sdf_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sv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aa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86"/>
  <sheetViews>
    <sheetView tabSelected="1" zoomScaleNormal="100" workbookViewId="0">
      <selection activeCell="D46" sqref="D46"/>
    </sheetView>
  </sheetViews>
  <sheetFormatPr defaultRowHeight="15" x14ac:dyDescent="0.25"/>
  <cols>
    <col min="1" max="1" width="42.85546875" style="6" bestFit="1" customWidth="1"/>
    <col min="2" max="7" width="20.7109375" style="6" customWidth="1"/>
    <col min="8" max="16384" width="9.140625" style="6"/>
  </cols>
  <sheetData>
    <row r="1" spans="1:7" x14ac:dyDescent="0.25">
      <c r="A1" s="108" t="s">
        <v>2598</v>
      </c>
      <c r="B1" s="48" t="s">
        <v>14</v>
      </c>
      <c r="C1" s="48" t="s">
        <v>15</v>
      </c>
      <c r="D1" s="48" t="s">
        <v>16</v>
      </c>
      <c r="E1" s="48" t="s">
        <v>17</v>
      </c>
      <c r="F1" s="48" t="s">
        <v>18</v>
      </c>
      <c r="G1" s="48" t="s">
        <v>19</v>
      </c>
    </row>
    <row r="2" spans="1:7" x14ac:dyDescent="0.25">
      <c r="A2" s="164"/>
      <c r="B2" s="100">
        <v>1373</v>
      </c>
      <c r="C2" s="100">
        <v>1193</v>
      </c>
      <c r="D2" s="100">
        <v>1303</v>
      </c>
      <c r="E2" s="100">
        <v>1303</v>
      </c>
      <c r="F2" s="100">
        <v>1236</v>
      </c>
      <c r="G2" s="100">
        <v>1373</v>
      </c>
    </row>
    <row r="3" spans="1:7" ht="30" customHeight="1" x14ac:dyDescent="0.25">
      <c r="A3" s="165"/>
      <c r="B3" s="47" t="str">
        <f>VLOOKUP(B2, 'Monster Database'!A1:Z9999, 2, FALSE)</f>
        <v>俊才の臥龍神・諸葛亮</v>
      </c>
      <c r="C3" s="47" t="str">
        <f>VLOOKUP(C2, 'Monster Database'!A1:Z9999, 2, FALSE)</f>
        <v>Gusting Prodigy, Sasuke</v>
      </c>
      <c r="D3" s="47" t="str">
        <f>VLOOKUP(D2, 'Monster Database'!A1:Z9999, 2, FALSE)</f>
        <v>Marine Rider, Bard Robin</v>
      </c>
      <c r="E3" s="47" t="str">
        <f>VLOOKUP(E2, 'Monster Database'!A1:Z9999, 2, FALSE)</f>
        <v>Marine Rider, Bard Robin</v>
      </c>
      <c r="F3" s="47" t="str">
        <f>VLOOKUP(F2, 'Monster Database'!A1:Z9999, 2, FALSE)</f>
        <v>Moral Commanding Deity, Liu Bei</v>
      </c>
      <c r="G3" s="47" t="str">
        <f>VLOOKUP(G2, 'Monster Database'!A1:Z9999, 2, FALSE)</f>
        <v>俊才の臥龍神・諸葛亮</v>
      </c>
    </row>
    <row r="4" spans="1:7" x14ac:dyDescent="0.25">
      <c r="A4" s="109" t="s">
        <v>88</v>
      </c>
      <c r="B4" s="52">
        <f>VLOOKUP(B2, 'Monster Database'!A1:Z9999, 4, FALSE)</f>
        <v>50</v>
      </c>
      <c r="C4" s="52">
        <f>VLOOKUP(C2, 'Monster Database'!A1:Z9999, 4, FALSE)</f>
        <v>27</v>
      </c>
      <c r="D4" s="52">
        <f>VLOOKUP(D2, 'Monster Database'!A1:Z9999, 4, FALSE)</f>
        <v>26</v>
      </c>
      <c r="E4" s="52">
        <f>VLOOKUP(E2, 'Monster Database'!A1:Z9999, 4, FALSE)</f>
        <v>26</v>
      </c>
      <c r="F4" s="52">
        <f>VLOOKUP(F2, 'Monster Database'!A1:Z9999, 4, FALSE)</f>
        <v>25</v>
      </c>
      <c r="G4" s="52">
        <f>VLOOKUP(G2, 'Monster Database'!A1:Z9999, 4, FALSE)</f>
        <v>50</v>
      </c>
    </row>
    <row r="5" spans="1:7" x14ac:dyDescent="0.25">
      <c r="A5" s="109" t="s">
        <v>2412</v>
      </c>
      <c r="B5" s="52">
        <f>VLOOKUP(B2, 'Monster Database'!A1:Z9999, 3, FALSE)</f>
        <v>6</v>
      </c>
      <c r="C5" s="52">
        <f>VLOOKUP(C2, 'Monster Database'!A1:Z9999, 3, FALSE)</f>
        <v>7</v>
      </c>
      <c r="D5" s="52">
        <f>VLOOKUP(D2, 'Monster Database'!A1:Z9999, 3, FALSE)</f>
        <v>7</v>
      </c>
      <c r="E5" s="52">
        <f>VLOOKUP(E2, 'Monster Database'!A1:Z9999, 3, FALSE)</f>
        <v>7</v>
      </c>
      <c r="F5" s="52">
        <f>VLOOKUP(F2, 'Monster Database'!A1:Z9999, 3, FALSE)</f>
        <v>6</v>
      </c>
      <c r="G5" s="52">
        <f>VLOOKUP(G2, 'Monster Database'!A1:Z9999, 3, FALSE)</f>
        <v>6</v>
      </c>
    </row>
    <row r="6" spans="1:7" ht="18.75" x14ac:dyDescent="0.3">
      <c r="A6" s="97"/>
      <c r="B6" s="95" t="s">
        <v>2413</v>
      </c>
      <c r="C6" s="53">
        <f>SUM(B4:F4)</f>
        <v>154</v>
      </c>
      <c r="D6" s="34" t="s">
        <v>2524</v>
      </c>
      <c r="E6" s="93">
        <f>AVERAGE(B5:G5)</f>
        <v>6.5</v>
      </c>
      <c r="F6" s="34" t="s">
        <v>2414</v>
      </c>
      <c r="G6" s="94">
        <f>ROUND(75.83*(10-E6)^4,-2)</f>
        <v>11400</v>
      </c>
    </row>
    <row r="7" spans="1:7" x14ac:dyDescent="0.25">
      <c r="A7" s="96"/>
      <c r="B7" s="44"/>
      <c r="C7" s="44"/>
      <c r="D7" s="44"/>
      <c r="E7" s="44"/>
      <c r="F7" s="44"/>
      <c r="G7" s="44"/>
    </row>
    <row r="8" spans="1:7" x14ac:dyDescent="0.25">
      <c r="A8" s="54" t="s">
        <v>2134</v>
      </c>
      <c r="B8" s="100">
        <v>99</v>
      </c>
      <c r="C8" s="100">
        <v>99</v>
      </c>
      <c r="D8" s="100">
        <v>99</v>
      </c>
      <c r="E8" s="100">
        <v>99</v>
      </c>
      <c r="F8" s="100">
        <v>99</v>
      </c>
      <c r="G8" s="100">
        <v>99</v>
      </c>
    </row>
    <row r="9" spans="1:7" x14ac:dyDescent="0.25">
      <c r="A9" s="109" t="s">
        <v>2135</v>
      </c>
      <c r="B9" s="52">
        <f>VLOOKUP(B2, 'Monster Database'!A1:Z9999, 5, FALSE)</f>
        <v>99</v>
      </c>
      <c r="C9" s="52">
        <f>VLOOKUP(C2, 'Monster Database'!A1:Z9999, 5, FALSE)</f>
        <v>99</v>
      </c>
      <c r="D9" s="52">
        <f>VLOOKUP(D2, 'Monster Database'!A1:Z9999, 5, FALSE)</f>
        <v>99</v>
      </c>
      <c r="E9" s="52">
        <f>VLOOKUP(E2, 'Monster Database'!A1:Z9999, 5, FALSE)</f>
        <v>99</v>
      </c>
      <c r="F9" s="52">
        <f>VLOOKUP(F2, 'Monster Database'!A1:Z9999, 5, FALSE)</f>
        <v>99</v>
      </c>
      <c r="G9" s="52">
        <f>VLOOKUP(G2, 'Monster Database'!A1:Z9999, 5, FALSE)</f>
        <v>99</v>
      </c>
    </row>
    <row r="10" spans="1:7" x14ac:dyDescent="0.25">
      <c r="A10" s="45"/>
      <c r="B10" s="42"/>
      <c r="C10" s="42"/>
      <c r="D10" s="42"/>
      <c r="E10" s="42"/>
      <c r="F10" s="42"/>
      <c r="G10" s="42"/>
    </row>
    <row r="11" spans="1:7" x14ac:dyDescent="0.25">
      <c r="A11" s="121" t="s">
        <v>20</v>
      </c>
      <c r="B11" s="49" t="str">
        <f>IF(VLOOKUP(B2, 'Monster Database'!A1:Z9999, 6, FALSE)=0, "FIRE", IF(VLOOKUP(B2, 'Monster Database'!A1:Z9999, 6, FALSE)=1, "WATER", IF(VLOOKUP(B2, 'Monster Database'!A1:Z9999, 6, FALSE)=2, "WOOD", IF(VLOOKUP(B2, 'Monster Database'!A1:Z9999, 6, FALSE)=3, "LIGHT", IF(VLOOKUP(B2, 'Monster Database'!A1:Z9999, 6, FALSE)=4, "DARK", "NONE")))))</f>
        <v>WOOD</v>
      </c>
      <c r="C11" s="57" t="str">
        <f>IF(VLOOKUP(C2, 'Monster Database'!A1:Z9999, 6, FALSE)=0, "FIRE", IF(VLOOKUP(C2, 'Monster Database'!A1:Z9999, 6, FALSE)=1, "WATER", IF(VLOOKUP(C2, 'Monster Database'!A1:Z9999, 6, FALSE)=2, "WOOD", IF(VLOOKUP(C2, 'Monster Database'!A1:Z9999, 6, FALSE)=3, "LIGHT", IF(VLOOKUP(C2, 'Monster Database'!A1:Z9999, 6, FALSE)=4, "DARK", "NONE")))))</f>
        <v>WOOD</v>
      </c>
      <c r="D11" s="59" t="str">
        <f>IF(VLOOKUP(D2, 'Monster Database'!A1:Z9999, 6, FALSE)=0, "FIRE", IF(VLOOKUP(D2, 'Monster Database'!A1:Z9999, 6, FALSE)=1, "WATER", IF(VLOOKUP(D2, 'Monster Database'!A1:Z9999, 6, FALSE)=2, "WOOD", IF(VLOOKUP(D2, 'Monster Database'!A1:Z9999, 6, FALSE)=3, "LIGHT", IF(VLOOKUP(D2, 'Monster Database'!A1:Z9999, 6, FALSE)=4, "DARK", "NONE")))))</f>
        <v>WOOD</v>
      </c>
      <c r="E11" s="59" t="str">
        <f>IF(VLOOKUP(E2, 'Monster Database'!A1:Z9999, 6, FALSE)=0, "FIRE", IF(VLOOKUP(E2, 'Monster Database'!A1:Z9999, 6, FALSE)=1, "WATER", IF(VLOOKUP(E2, 'Monster Database'!A1:Z9999, 6, FALSE)=2, "WOOD", IF(VLOOKUP(E2, 'Monster Database'!A1:Z9999, 6, FALSE)=3, "LIGHT", IF(VLOOKUP(E2, 'Monster Database'!A1:Z9999, 6, FALSE)=4, "DARK", "NONE")))))</f>
        <v>WOOD</v>
      </c>
      <c r="F11" s="57" t="str">
        <f>IF(VLOOKUP(F2, 'Monster Database'!A1:Z9999, 6, FALSE)=0, "FIRE", IF(VLOOKUP(F2, 'Monster Database'!A1:Z9999, 6, FALSE)=1, "WATER", IF(VLOOKUP(F2, 'Monster Database'!A1:Z9999, 6, FALSE)=2, "WOOD", IF(VLOOKUP(F2, 'Monster Database'!A1:Z9999, 6, FALSE)=3, "LIGHT", IF(VLOOKUP(F2, 'Monster Database'!A1:Z9999, 6, FALSE)=4, "DARK", "NONE")))))</f>
        <v>WOOD</v>
      </c>
      <c r="G11" s="50" t="str">
        <f>IF(VLOOKUP(G2, 'Monster Database'!A1:Z9999, 6, FALSE)=0, "FIRE", IF(VLOOKUP(G2, 'Monster Database'!A1:Z9999, 6, FALSE)=1, "WATER", IF(VLOOKUP(G2, 'Monster Database'!A1:Z9999, 6, FALSE)=2, "WOOD", IF(VLOOKUP(G2, 'Monster Database'!A1:Z9999, 6, FALSE)=3, "LIGHT", IF(VLOOKUP(G2, 'Monster Database'!A1:Z9999, 6, FALSE)=4, "DARK", "NONE")))))</f>
        <v>WOOD</v>
      </c>
    </row>
    <row r="12" spans="1:7" x14ac:dyDescent="0.25">
      <c r="A12" s="122" t="s">
        <v>21</v>
      </c>
      <c r="B12" s="55" t="str">
        <f>IF(VLOOKUP(B2, 'Monster Database'!A1:Z9999, 7, FALSE)=0, "FIRE", IF(VLOOKUP(B2, 'Monster Database'!A1:Z9999, 7, FALSE)=1, "WATER", IF(VLOOKUP(B2, 'Monster Database'!A1:Z9999, 7, FALSE)=2, "WOOD", IF(VLOOKUP(B2, 'Monster Database'!A1:Z9999, 7, FALSE)=3, "LIGHT", IF(VLOOKUP(B2, 'Monster Database'!A1:Z9999, 7, FALSE)=4, "DARK", "NONE")))))</f>
        <v>DARK</v>
      </c>
      <c r="C12" s="58" t="str">
        <f>IF(VLOOKUP(C2, 'Monster Database'!A1:Z9999, 7, FALSE)=0, "FIRE", IF(VLOOKUP(C2, 'Monster Database'!A1:Z9999, 7, FALSE)=1, "WATER", IF(VLOOKUP(C2, 'Monster Database'!A1:Z9999, 7, FALSE)=2, "WOOD", IF(VLOOKUP(C2, 'Monster Database'!A1:Z9999, 7, FALSE)=3, "LIGHT", IF(VLOOKUP(C2, 'Monster Database'!A1:Z9999, 7, FALSE)=4, "DARK", "NONE")))))</f>
        <v>WOOD</v>
      </c>
      <c r="D12" s="51" t="str">
        <f>IF(VLOOKUP(D2, 'Monster Database'!A1:Z9999, 7, FALSE)=0, "FIRE", IF(VLOOKUP(D2, 'Monster Database'!A1:Z9999, 7, FALSE)=1, "WATER", IF(VLOOKUP(D2, 'Monster Database'!A1:Z9999, 7, FALSE)=2, "WOOD", IF(VLOOKUP(D2, 'Monster Database'!A1:Z9999, 7, FALSE)=3, "LIGHT", IF(VLOOKUP(D2, 'Monster Database'!A1:Z9999, 7, FALSE)=4, "DARK", "NONE")))))</f>
        <v>WATER</v>
      </c>
      <c r="E12" s="60" t="str">
        <f>IF(VLOOKUP(E2, 'Monster Database'!A1:Z9999, 7, FALSE)=0, "FIRE", IF(VLOOKUP(E2, 'Monster Database'!A1:Z9999, 7, FALSE)=1, "WATER", IF(VLOOKUP(E2, 'Monster Database'!A1:Z9999, 7, FALSE)=2, "WOOD", IF(VLOOKUP(E2, 'Monster Database'!A1:Z9999, 7, FALSE)=3, "LIGHT", IF(VLOOKUP(E2, 'Monster Database'!A1:Z9999, 7, FALSE)=4, "DARK", "NONE")))))</f>
        <v>WATER</v>
      </c>
      <c r="F12" s="58" t="str">
        <f>IF(VLOOKUP(F2, 'Monster Database'!A1:Z9999, 7, FALSE)=0, "FIRE", IF(VLOOKUP(F2, 'Monster Database'!A1:Z9999, 7, FALSE)=1, "WATER", IF(VLOOKUP(F2, 'Monster Database'!A1:Z9999, 7, FALSE)=2, "WOOD", IF(VLOOKUP(F2, 'Monster Database'!A1:Z9999, 7, FALSE)=3, "LIGHT", IF(VLOOKUP(F2, 'Monster Database'!A1:Z9999, 7, FALSE)=4, "DARK", "NONE")))))</f>
        <v>NONE</v>
      </c>
      <c r="G12" s="56" t="str">
        <f>IF(VLOOKUP(G2, 'Monster Database'!A1:Z9999, 7, FALSE)=0, "FIRE", IF(VLOOKUP(G2, 'Monster Database'!A1:Z9999, 7, FALSE)=1, "WATER", IF(VLOOKUP(G2, 'Monster Database'!A1:Z9999, 7, FALSE)=2, "WOOD", IF(VLOOKUP(G2, 'Monster Database'!A1:Z9999, 7, FALSE)=3, "LIGHT", IF(VLOOKUP(G2, 'Monster Database'!A1:Z9999, 7, FALSE)=4, "DARK", "NONE")))))</f>
        <v>DARK</v>
      </c>
    </row>
    <row r="13" spans="1:7" x14ac:dyDescent="0.25">
      <c r="A13" s="121" t="s">
        <v>43</v>
      </c>
      <c r="B13" s="67" t="str">
        <f>IF(VLOOKUP(B2, 'Monster Database'!A1:Z9999, 8, FALSE)=0, "EVO", IF(VLOOKUP(B2, 'Monster Database'!A1:Z9999, 8, FALSE)=1, "BALANCED", IF(VLOOKUP(B2, 'Monster Database'!A1:Z9999, 8, FALSE)=2, "PHYSICAL", IF(VLOOKUP(B2, 'Monster Database'!A1:Z9999, 8, FALSE)=3, "HEALER", IF(VLOOKUP(B2, 'Monster Database'!A1:Z9999, 8, FALSE)=4, "DRAGON", IF(VLOOKUP(B2, 'Monster Database'!A1:Z9999, 8, FALSE)=5, "GOD", IF(VLOOKUP(B2, 'Monster Database'!A1:Z9999, 8, FALSE)=6, "ATTACKER", IF(VLOOKUP(B2, 'Monster Database'!A1:Z9999, 8, FALSE)=7, "DEVIL", IF(VLOOKUP(B2, 'Monster Database'!A1:Z9999, 8, FALSE)=12, "AWOKEN MAT", IF(VLOOKUP(B2, 'Monster Database'!A1:Z9999, 8, FALSE)=13, "PROTECTED", IF(VLOOKUP(B2, 'Monster Database'!A1:Z9999, 8, FALSE)=14, "ENHANCE", "NONE")))))))))))</f>
        <v>GOD</v>
      </c>
      <c r="C13" s="63" t="str">
        <f>IF(VLOOKUP(C2, 'Monster Database'!A1:Z9999, 8, FALSE)=0, "EVO", IF(VLOOKUP(C2, 'Monster Database'!A1:Z9999, 8, FALSE)=1, "BALANCED", IF(VLOOKUP(C2, 'Monster Database'!A1:Z9999, 8, FALSE)=2, "PHYSICAL", IF(VLOOKUP(C2, 'Monster Database'!A1:Z9999, 8, FALSE)=3, "HEALER", IF(VLOOKUP(C2, 'Monster Database'!A1:Z9999, 8, FALSE)=4, "DRAGON", IF(VLOOKUP(C2, 'Monster Database'!A1:Z9999, 8, FALSE)=5, "GOD", IF(VLOOKUP(C2, 'Monster Database'!A1:Z9999, 8, FALSE)=6, "ATTACKER", IF(VLOOKUP(C2, 'Monster Database'!A1:Z9999, 8, FALSE)=7, "DEVIL", IF(VLOOKUP(C2, 'Monster Database'!A1:Z9999, 8, FALSE)=12, "AWOKEN MAT", IF(VLOOKUP(C2, 'Monster Database'!A1:Z9999, 8, FALSE)=13, "PROTECTED", IF(VLOOKUP(C2, 'Monster Database'!A1:Z9999, 8, FALSE)=14, "ENHANCE", "NONE")))))))))))</f>
        <v>ATTACKER</v>
      </c>
      <c r="D13" s="63" t="str">
        <f>IF(VLOOKUP(D2, 'Monster Database'!A1:Z9999, 8, FALSE)=0, "EVO", IF(VLOOKUP(D2, 'Monster Database'!A1:Z9999, 8, FALSE)=1, "BALANCED", IF(VLOOKUP(D2, 'Monster Database'!A1:Z9999, 8, FALSE)=2, "PHYSICAL", IF(VLOOKUP(D2, 'Monster Database'!A1:Z9999, 8, FALSE)=3, "HEALER", IF(VLOOKUP(D2, 'Monster Database'!A1:Z9999, 8, FALSE)=4, "DRAGON", IF(VLOOKUP(D2, 'Monster Database'!A1:Z9999, 8, FALSE)=5, "GOD", IF(VLOOKUP(D2, 'Monster Database'!A1:Z9999, 8, FALSE)=6, "ATTACKER", IF(VLOOKUP(D2, 'Monster Database'!A1:Z9999, 8, FALSE)=7, "DEVIL", IF(VLOOKUP(D2, 'Monster Database'!A1:Z9999, 8, FALSE)=12, "AWOKEN MAT", IF(VLOOKUP(D2, 'Monster Database'!A1:Z9999, 8, FALSE)=13, "PROTECTED", IF(VLOOKUP(D2, 'Monster Database'!A1:Z9999, 8, FALSE)=14, "ENHANCE", "NONE")))))))))))</f>
        <v>ATTACKER</v>
      </c>
      <c r="E13" s="63" t="str">
        <f>IF(VLOOKUP(E2, 'Monster Database'!A1:Z9999, 8, FALSE)=0, "EVO", IF(VLOOKUP(E2, 'Monster Database'!A1:Z9999, 8, FALSE)=1, "BALANCED", IF(VLOOKUP(E2, 'Monster Database'!A1:Z9999, 8, FALSE)=2, "PHYSICAL", IF(VLOOKUP(E2, 'Monster Database'!A1:Z9999, 8, FALSE)=3, "HEALER", IF(VLOOKUP(E2, 'Monster Database'!A1:Z9999, 8, FALSE)=4, "DRAGON", IF(VLOOKUP(E2, 'Monster Database'!A1:Z9999, 8, FALSE)=5, "GOD", IF(VLOOKUP(E2, 'Monster Database'!A1:Z9999, 8, FALSE)=6, "ATTACKER", IF(VLOOKUP(E2, 'Monster Database'!A1:Z9999, 8, FALSE)=7, "DEVIL", IF(VLOOKUP(E2, 'Monster Database'!A1:Z9999, 8, FALSE)=12, "AWOKEN MAT", IF(VLOOKUP(E2, 'Monster Database'!A1:Z9999, 8, FALSE)=13, "PROTECTED", IF(VLOOKUP(E2, 'Monster Database'!A1:Z9999, 8, FALSE)=14, "ENHANCE", "NONE")))))))))))</f>
        <v>ATTACKER</v>
      </c>
      <c r="F13" s="63" t="str">
        <f>IF(VLOOKUP(F2, 'Monster Database'!A1:Z9999, 8, FALSE)=0, "EVO", IF(VLOOKUP(F2, 'Monster Database'!A1:Z9999, 8, FALSE)=1, "BALANCED", IF(VLOOKUP(F2, 'Monster Database'!A1:Z9999, 8, FALSE)=2, "PHYSICAL", IF(VLOOKUP(F2, 'Monster Database'!A1:Z9999, 8, FALSE)=3, "HEALER", IF(VLOOKUP(F2, 'Monster Database'!A1:Z9999, 8, FALSE)=4, "DRAGON", IF(VLOOKUP(F2, 'Monster Database'!A1:Z9999, 8, FALSE)=5, "GOD", IF(VLOOKUP(F2, 'Monster Database'!A1:Z9999, 8, FALSE)=6, "ATTACKER", IF(VLOOKUP(F2, 'Monster Database'!A1:Z9999, 8, FALSE)=7, "DEVIL", IF(VLOOKUP(F2, 'Monster Database'!A1:Z9999, 8, FALSE)=12, "AWOKEN MAT", IF(VLOOKUP(F2, 'Monster Database'!A1:Z9999, 8, FALSE)=13, "PROTECTED", IF(VLOOKUP(F2, 'Monster Database'!A1:Z9999, 8, FALSE)=14, "ENHANCE", "NONE")))))))))))</f>
        <v>GOD</v>
      </c>
      <c r="G13" s="61" t="str">
        <f>IF(VLOOKUP(G2, 'Monster Database'!A1:Z9999, 8, FALSE)=0, "EVO", IF(VLOOKUP(G2, 'Monster Database'!A1:Z9999, 8, FALSE)=1, "BALANCED", IF(VLOOKUP(G2, 'Monster Database'!A1:Z9999, 8, FALSE)=2, "PHYSICAL", IF(VLOOKUP(G2, 'Monster Database'!A1:Z9999, 8, FALSE)=3, "HEALER", IF(VLOOKUP(G2, 'Monster Database'!A1:Z9999, 8, FALSE)=4, "DRAGON", IF(VLOOKUP(G2, 'Monster Database'!A1:Z9999, 8, FALSE)=5, "GOD", IF(VLOOKUP(G2, 'Monster Database'!A1:Z9999, 8, FALSE)=6, "ATTACKER", IF(VLOOKUP(G2, 'Monster Database'!A1:Z9999, 8, FALSE)=7, "DEVIL", IF(VLOOKUP(G2, 'Monster Database'!A1:Z9999, 8, FALSE)=12, "AWOKEN MAT", IF(VLOOKUP(G2, 'Monster Database'!A1:Z9999, 8, FALSE)=13, "PROTECTED", IF(VLOOKUP(G2, 'Monster Database'!A1:Z9999, 8, FALSE)=14, "ENHANCE", "NONE")))))))))))</f>
        <v>GOD</v>
      </c>
    </row>
    <row r="14" spans="1:7" x14ac:dyDescent="0.25">
      <c r="A14" s="122" t="s">
        <v>44</v>
      </c>
      <c r="B14" s="66" t="str">
        <f>IF(VLOOKUP(B2, 'Monster Database'!A1:Z9999, 9, FALSE)=0, "EVO", IF(VLOOKUP(B2, 'Monster Database'!A1:Z9999, 9, FALSE)=1, "BALANCED", IF(VLOOKUP(B2, 'Monster Database'!A1:Z9999, 9, FALSE)=2, "PHYSICAL", IF(VLOOKUP(B2, 'Monster Database'!A1:Z9999, 9, FALSE)=3, "HEALER", IF(VLOOKUP(B2, 'Monster Database'!A1:Z9999, 9, FALSE)=4, "DRAGON", IF(VLOOKUP(B2, 'Monster Database'!A1:Z9999, 9, FALSE)=5, "GOD", IF(VLOOKUP(B2, 'Monster Database'!A1:Z9999, 9, FALSE)=6, "ATTACKER", IF(VLOOKUP(B2, 'Monster Database'!A1:Z9999, 9, FALSE)=7, "DEVIL", IF(VLOOKUP(B2, 'Monster Database'!A1:Z9999, 9, FALSE)=12, "AWOKEN MAT", IF(VLOOKUP(B2, 'Monster Database'!A1:Z9999, 9, FALSE)=13, "PROTECTED", IF(VLOOKUP(B2, 'Monster Database'!A1:Z9999, 9, FALSE)=14, "ENHANCE", "NONE")))))))))))</f>
        <v>ATTACKER</v>
      </c>
      <c r="C14" s="65" t="str">
        <f>IF(VLOOKUP(C2, 'Monster Database'!A1:Z9999, 9, FALSE)=0, "EVO", IF(VLOOKUP(C2, 'Monster Database'!A1:Z9999, 9, FALSE)=1, "BALANCED", IF(VLOOKUP(C2, 'Monster Database'!A1:Z9999, 9, FALSE)=2, "PHYSICAL", IF(VLOOKUP(C2, 'Monster Database'!A1:Z9999, 9, FALSE)=3, "HEALER", IF(VLOOKUP(C2, 'Monster Database'!A1:Z9999, 9, FALSE)=4, "DRAGON", IF(VLOOKUP(C2, 'Monster Database'!A1:Z9999, 9, FALSE)=5, "GOD", IF(VLOOKUP(C2, 'Monster Database'!A1:Z9999, 9, FALSE)=6, "ATTACKER", IF(VLOOKUP(C2, 'Monster Database'!A1:Z9999, 9, FALSE)=7, "DEVIL", IF(VLOOKUP(C2, 'Monster Database'!A1:Z9999, 9, FALSE)=12, "AWOKEN MAT", IF(VLOOKUP(C2, 'Monster Database'!A1:Z9999, 9, FALSE)=13, "PROTECTED", IF(VLOOKUP(C2, 'Monster Database'!A1:Z9999, 9, FALSE)=14, "ENHANCE", "NONE")))))))))))</f>
        <v>NONE</v>
      </c>
      <c r="D14" s="65" t="str">
        <f>IF(VLOOKUP(D2, 'Monster Database'!A1:Z9999, 9, FALSE)=0, "EVO", IF(VLOOKUP(D2, 'Monster Database'!A1:Z9999, 9, FALSE)=1, "BALANCED", IF(VLOOKUP(D2, 'Monster Database'!A1:Z9999, 9, FALSE)=2, "PHYSICAL", IF(VLOOKUP(D2, 'Monster Database'!A1:Z9999, 9, FALSE)=3, "HEALER", IF(VLOOKUP(D2, 'Monster Database'!A1:Z9999, 9, FALSE)=4, "DRAGON", IF(VLOOKUP(D2, 'Monster Database'!A1:Z9999, 9, FALSE)=5, "GOD", IF(VLOOKUP(D2, 'Monster Database'!A1:Z9999, 9, FALSE)=6, "ATTACKER", IF(VLOOKUP(D2, 'Monster Database'!A1:Z9999, 9, FALSE)=7, "DEVIL", IF(VLOOKUP(D2, 'Monster Database'!A1:Z9999, 9, FALSE)=12, "AWOKEN MAT", IF(VLOOKUP(D2, 'Monster Database'!A1:Z9999, 9, FALSE)=13, "PROTECTED", IF(VLOOKUP(D2, 'Monster Database'!A1:Z9999, 9, FALSE)=14, "ENHANCE", "NONE")))))))))))</f>
        <v>DEVIL</v>
      </c>
      <c r="E14" s="65" t="str">
        <f>IF(VLOOKUP(E2, 'Monster Database'!A1:Z9999, 9, FALSE)=0, "EVO", IF(VLOOKUP(E2, 'Monster Database'!A1:Z9999, 9, FALSE)=1, "BALANCED", IF(VLOOKUP(E2, 'Monster Database'!A1:Z9999, 9, FALSE)=2, "PHYSICAL", IF(VLOOKUP(E2, 'Monster Database'!A1:Z9999, 9, FALSE)=3, "HEALER", IF(VLOOKUP(E2, 'Monster Database'!A1:Z9999, 9, FALSE)=4, "DRAGON", IF(VLOOKUP(E2, 'Monster Database'!A1:Z9999, 9, FALSE)=5, "GOD", IF(VLOOKUP(E2, 'Monster Database'!A1:Z9999, 9, FALSE)=6, "ATTACKER", IF(VLOOKUP(E2, 'Monster Database'!A1:Z9999, 9, FALSE)=7, "DEVIL", IF(VLOOKUP(E2, 'Monster Database'!A1:Z9999, 9, FALSE)=12, "AWOKEN MAT", IF(VLOOKUP(E2, 'Monster Database'!A1:Z9999, 9, FALSE)=13, "PROTECTED", IF(VLOOKUP(E2, 'Monster Database'!A1:Z9999, 9, FALSE)=14, "ENHANCE", "NONE")))))))))))</f>
        <v>DEVIL</v>
      </c>
      <c r="F14" s="64" t="str">
        <f>IF(VLOOKUP(F2, 'Monster Database'!A1:Z9999, 9, FALSE)=0, "EVO", IF(VLOOKUP(F2, 'Monster Database'!A1:Z9999, 9, FALSE)=1, "BALANCED", IF(VLOOKUP(F2, 'Monster Database'!A1:Z9999, 9, FALSE)=2, "PHYSICAL", IF(VLOOKUP(F2, 'Monster Database'!A1:Z9999, 9, FALSE)=3, "HEALER", IF(VLOOKUP(F2, 'Monster Database'!A1:Z9999, 9, FALSE)=4, "DRAGON", IF(VLOOKUP(F2, 'Monster Database'!A1:Z9999, 9, FALSE)=5, "GOD", IF(VLOOKUP(F2, 'Monster Database'!A1:Z9999, 9, FALSE)=6, "ATTACKER", IF(VLOOKUP(F2, 'Monster Database'!A1:Z9999, 9, FALSE)=7, "DEVIL", IF(VLOOKUP(F2, 'Monster Database'!A1:Z9999, 9, FALSE)=12, "AWOKEN MAT", IF(VLOOKUP(F2, 'Monster Database'!A1:Z9999, 9, FALSE)=13, "PROTECTED", IF(VLOOKUP(F2, 'Monster Database'!A1:Z9999, 9, FALSE)=14, "ENHANCE", "NONE")))))))))))</f>
        <v>ATTACKER</v>
      </c>
      <c r="G14" s="62" t="str">
        <f>IF(VLOOKUP(G2, 'Monster Database'!A1:Z9999, 9, FALSE)=0, "EVO", IF(VLOOKUP(G2, 'Monster Database'!A1:Z9999, 9, FALSE)=1, "BALANCED", IF(VLOOKUP(G2, 'Monster Database'!A1:Z9999, 9, FALSE)=2, "PHYSICAL", IF(VLOOKUP(G2, 'Monster Database'!A1:Z9999, 9, FALSE)=3, "HEALER", IF(VLOOKUP(G2, 'Monster Database'!A1:Z9999, 9, FALSE)=4, "DRAGON", IF(VLOOKUP(G2, 'Monster Database'!A1:Z9999, 9, FALSE)=5, "GOD", IF(VLOOKUP(G2, 'Monster Database'!A1:Z9999, 9, FALSE)=6, "ATTACKER", IF(VLOOKUP(G2, 'Monster Database'!A1:Z9999, 9, FALSE)=7, "DEVIL", IF(VLOOKUP(G2, 'Monster Database'!A1:Z9999, 9, FALSE)=12, "AWOKEN MAT", IF(VLOOKUP(G2, 'Monster Database'!A1:Z9999, 9, FALSE)=13, "PROTECTED", IF(VLOOKUP(G2, 'Monster Database'!A1:Z9999, 9, FALSE)=14, "ENHANCE", "NONE")))))))))))</f>
        <v>ATTACKER</v>
      </c>
    </row>
    <row r="15" spans="1:7" x14ac:dyDescent="0.25">
      <c r="A15" s="11"/>
      <c r="B15" s="71"/>
      <c r="C15" s="70"/>
      <c r="D15" s="70"/>
      <c r="E15" s="70"/>
      <c r="F15" s="70"/>
      <c r="G15" s="70"/>
    </row>
    <row r="16" spans="1:7" x14ac:dyDescent="0.25">
      <c r="A16" s="112" t="s">
        <v>2139</v>
      </c>
      <c r="B16" s="101">
        <v>0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</row>
    <row r="17" spans="1:7" x14ac:dyDescent="0.25">
      <c r="A17" s="87" t="s">
        <v>2142</v>
      </c>
      <c r="B17" s="41">
        <f>(LEN(VLOOKUP(B2, 'Monster Database'!A1:Z9999, 22, FALSE))-LEN(SUBSTITUTE(VLOOKUP(B2, 'Monster Database'!A1:Z9999, 22, FALSE),",1,","")))/3+IF(LEFT(VLOOKUP(B2, 'Monster Database'!A1:Z9999, 22, FALSE),2)="1,",1,0)+IF(RIGHT(VLOOKUP(B2, 'Monster Database'!A1:Z9999, 22, FALSE),2)=",1",1,0)</f>
        <v>0</v>
      </c>
      <c r="C17" s="41">
        <f>(LEN(VLOOKUP(C2, 'Monster Database'!A1:Z9999, 22, FALSE))-LEN(SUBSTITUTE(VLOOKUP(C2, 'Monster Database'!A1:Z9999, 22, FALSE),",1,","")))/3+IF(LEFT(VLOOKUP(C2, 'Monster Database'!A1:Z9999, 22, FALSE),2)="1,",1,0)+IF(RIGHT(VLOOKUP(C2, 'Monster Database'!A1:Z9999, 22, FALSE),2)=",1",1,0)</f>
        <v>0</v>
      </c>
      <c r="D17" s="41">
        <f>(LEN(VLOOKUP(D2, 'Monster Database'!A1:Z9999, 22, FALSE))-LEN(SUBSTITUTE(VLOOKUP(D2, 'Monster Database'!A1:Z9999, 22, FALSE),",1,","")))/3+IF(LEFT(VLOOKUP(D2, 'Monster Database'!A1:Z9999, 22, FALSE),2)="1,",1,0)+IF(RIGHT(VLOOKUP(D2, 'Monster Database'!A1:Z9999, 22, FALSE),2)=",1",1,0)</f>
        <v>0</v>
      </c>
      <c r="E17" s="41">
        <f>(LEN(VLOOKUP(E2, 'Monster Database'!A1:Z9999, 22, FALSE))-LEN(SUBSTITUTE(VLOOKUP(E2, 'Monster Database'!A1:Z9999, 22, FALSE),",1,","")))/3+IF(LEFT(VLOOKUP(E2, 'Monster Database'!A1:Z9999, 22, FALSE),2)="1,",1,0)+IF(RIGHT(VLOOKUP(E2, 'Monster Database'!A1:Z9999, 22, FALSE),2)=",1",1,0)</f>
        <v>0</v>
      </c>
      <c r="F17" s="41">
        <f>(LEN(VLOOKUP(F2, 'Monster Database'!A1:Z9999, 22, FALSE))-LEN(SUBSTITUTE(VLOOKUP(F2, 'Monster Database'!A1:Z9999, 22, FALSE),",1,","")))/3+IF(LEFT(VLOOKUP(F2, 'Monster Database'!A1:Z9999, 22, FALSE),2)="1,",1,0)+IF(RIGHT(VLOOKUP(F2, 'Monster Database'!A1:Z9999, 22, FALSE),2)=",1",1,0)</f>
        <v>0</v>
      </c>
      <c r="G17" s="41">
        <f>(LEN(VLOOKUP(G2, 'Monster Database'!A1:Z9999, 22, FALSE))-LEN(SUBSTITUTE(VLOOKUP(G2, 'Monster Database'!A1:Z9999, 22, FALSE),",1,","")))/3+IF(LEFT(VLOOKUP(G2, 'Monster Database'!A1:Z9999, 22, FALSE),2)="1,",1,0)+IF(RIGHT(VLOOKUP(G2, 'Monster Database'!A1:Z9999, 22, FALSE),2)=",1",1,0)</f>
        <v>0</v>
      </c>
    </row>
    <row r="18" spans="1:7" x14ac:dyDescent="0.25">
      <c r="A18" s="90"/>
      <c r="B18" s="88"/>
      <c r="C18" s="88"/>
      <c r="D18" s="88"/>
      <c r="E18" s="88"/>
      <c r="F18" s="88"/>
      <c r="G18" s="88"/>
    </row>
    <row r="19" spans="1:7" x14ac:dyDescent="0.25">
      <c r="A19" s="112" t="s">
        <v>2140</v>
      </c>
      <c r="B19" s="101">
        <v>0</v>
      </c>
      <c r="C19" s="101">
        <v>0</v>
      </c>
      <c r="D19" s="101">
        <v>1</v>
      </c>
      <c r="E19" s="101">
        <v>1</v>
      </c>
      <c r="F19" s="101">
        <v>0</v>
      </c>
      <c r="G19" s="101">
        <v>0</v>
      </c>
    </row>
    <row r="20" spans="1:7" x14ac:dyDescent="0.25">
      <c r="A20" s="87" t="s">
        <v>2143</v>
      </c>
      <c r="B20" s="41">
        <f>(LEN(VLOOKUP(B2, 'Monster Database'!A1:Z9999, 22, FALSE))-LEN(SUBSTITUTE(VLOOKUP(B2, 'Monster Database'!A1:Z9999, 22, FALSE),",2,","")))/3+IF(LEFT(VLOOKUP(B2, 'Monster Database'!A1:Z9999, 22, FALSE),2)="2,",1,0)+IF(RIGHT(VLOOKUP(B2, 'Monster Database'!A1:Z9999, 22, FALSE),2)=",2",1,0)</f>
        <v>0</v>
      </c>
      <c r="C20" s="41">
        <f>(LEN(VLOOKUP(C2, 'Monster Database'!A1:Z9999, 22, FALSE))-LEN(SUBSTITUTE(VLOOKUP(C2, 'Monster Database'!A1:Z9999, 22, FALSE),",2,","")))/3+IF(LEFT(VLOOKUP(C2, 'Monster Database'!A1:Z9999, 22, FALSE),2)="2,",1,0)+IF(RIGHT(VLOOKUP(C2, 'Monster Database'!A1:Z9999, 22, FALSE),2)=",2",1,0)</f>
        <v>0</v>
      </c>
      <c r="D20" s="41">
        <f>(LEN(VLOOKUP(D2, 'Monster Database'!A1:Z9999, 22, FALSE))-LEN(SUBSTITUTE(VLOOKUP(D2, 'Monster Database'!A1:Z9999, 22, FALSE),",2,","")))/3+IF(LEFT(VLOOKUP(D2, 'Monster Database'!A1:Z9999, 22, FALSE),2)="2,",1,0)+IF(RIGHT(VLOOKUP(D2, 'Monster Database'!A1:Z9999, 22, FALSE),2)=",2",1,0)</f>
        <v>1</v>
      </c>
      <c r="E20" s="41">
        <f>(LEN(VLOOKUP(E2, 'Monster Database'!A1:Z9999, 22, FALSE))-LEN(SUBSTITUTE(VLOOKUP(E2, 'Monster Database'!A1:Z9999, 22, FALSE),",2,","")))/3+IF(LEFT(VLOOKUP(E2, 'Monster Database'!A1:Z9999, 22, FALSE),2)="2,",1,0)+IF(RIGHT(VLOOKUP(E2, 'Monster Database'!A1:Z9999, 22, FALSE),2)=",2",1,0)</f>
        <v>1</v>
      </c>
      <c r="F20" s="41">
        <f>(LEN(VLOOKUP(F2, 'Monster Database'!A1:Z9999, 22, FALSE))-LEN(SUBSTITUTE(VLOOKUP(F2, 'Monster Database'!A1:Z9999, 22, FALSE),",2,","")))/3+IF(LEFT(VLOOKUP(F2, 'Monster Database'!A1:Z9999, 22, FALSE),2)="2,",1,0)+IF(RIGHT(VLOOKUP(F2, 'Monster Database'!A1:Z9999, 22, FALSE),2)=",2",1,0)</f>
        <v>0</v>
      </c>
      <c r="G20" s="41">
        <f>(LEN(VLOOKUP(G2, 'Monster Database'!A1:Z9999, 22, FALSE))-LEN(SUBSTITUTE(VLOOKUP(G2, 'Monster Database'!A1:Z9999, 22, FALSE),",2,","")))/3+IF(LEFT(VLOOKUP(G2, 'Monster Database'!A1:Z9999, 22, FALSE),2)="2,",1,0)+IF(RIGHT(VLOOKUP(G2, 'Monster Database'!A1:Z9999, 22, FALSE),2)=",2",1,0)</f>
        <v>0</v>
      </c>
    </row>
    <row r="21" spans="1:7" x14ac:dyDescent="0.25">
      <c r="A21" s="89"/>
      <c r="B21" s="88"/>
      <c r="C21" s="88"/>
      <c r="D21" s="88"/>
      <c r="E21" s="88"/>
      <c r="F21" s="88"/>
      <c r="G21" s="88"/>
    </row>
    <row r="22" spans="1:7" x14ac:dyDescent="0.25">
      <c r="A22" s="112" t="s">
        <v>2141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</row>
    <row r="23" spans="1:7" x14ac:dyDescent="0.25">
      <c r="A23" s="87" t="s">
        <v>2144</v>
      </c>
      <c r="B23" s="41">
        <f>(LEN(VLOOKUP(B2, 'Monster Database'!A1:Z9999, 22, FALSE))-LEN(SUBSTITUTE(VLOOKUP(B2, 'Monster Database'!A1:Z9999, 22, FALSE),",3,","")))/3+IF(LEFT(VLOOKUP(B2, 'Monster Database'!A1:Z9999, 22, FALSE),2)="3,",1,0)+IF(RIGHT(VLOOKUP(B2, 'Monster Database'!A1:Z9999, 22, FALSE),2)=",3",1,0)</f>
        <v>0</v>
      </c>
      <c r="C23" s="41">
        <f>(LEN(VLOOKUP(C2, 'Monster Database'!A1:Z9999, 22, FALSE))-LEN(SUBSTITUTE(VLOOKUP(C2, 'Monster Database'!A1:Z9999, 22, FALSE),",3,","")))/3+IF(LEFT(VLOOKUP(C2, 'Monster Database'!A1:Z9999, 22, FALSE),2)="3,",1,0)+IF(RIGHT(VLOOKUP(C2, 'Monster Database'!A1:Z9999, 22, FALSE),2)=",3",1,0)</f>
        <v>0</v>
      </c>
      <c r="D23" s="41">
        <f>(LEN(VLOOKUP(D2, 'Monster Database'!A1:Z9999, 22, FALSE))-LEN(SUBSTITUTE(VLOOKUP(D2, 'Monster Database'!A1:Z9999, 22, FALSE),",3,","")))/3+IF(LEFT(VLOOKUP(D2, 'Monster Database'!A1:Z9999, 22, FALSE),2)="3,",1,0)+IF(RIGHT(VLOOKUP(D2, 'Monster Database'!A1:Z9999, 22, FALSE),2)=",3",1,0)</f>
        <v>0</v>
      </c>
      <c r="E23" s="41">
        <f>(LEN(VLOOKUP(E2, 'Monster Database'!A1:Z9999, 22, FALSE))-LEN(SUBSTITUTE(VLOOKUP(E2, 'Monster Database'!A1:Z9999, 22, FALSE),",3,","")))/3+IF(LEFT(VLOOKUP(E2, 'Monster Database'!A1:Z9999, 22, FALSE),2)="3,",1,0)+IF(RIGHT(VLOOKUP(E2, 'Monster Database'!A1:Z9999, 22, FALSE),2)=",3",1,0)</f>
        <v>0</v>
      </c>
      <c r="F23" s="41">
        <f>(LEN(VLOOKUP(F2, 'Monster Database'!A1:Z9999, 22, FALSE))-LEN(SUBSTITUTE(VLOOKUP(F2, 'Monster Database'!A1:Z9999, 22, FALSE),",3,","")))/3+IF(LEFT(VLOOKUP(F2, 'Monster Database'!A1:Z9999, 22, FALSE),2)="3,",1,0)+IF(RIGHT(VLOOKUP(F2, 'Monster Database'!A1:Z9999, 22, FALSE),2)=",3",1,0)</f>
        <v>0</v>
      </c>
      <c r="G23" s="41">
        <f>(LEN(VLOOKUP(G2, 'Monster Database'!A1:Z9999, 22, FALSE))-LEN(SUBSTITUTE(VLOOKUP(G2, 'Monster Database'!A1:Z9999, 22, FALSE),",3,","")))/3+IF(LEFT(VLOOKUP(G2, 'Monster Database'!A1:Z9999, 22, FALSE),2)="3,",1,0)+IF(RIGHT(VLOOKUP(G2, 'Monster Database'!A1:Z9999, 22, FALSE),2)=",3",1,0)</f>
        <v>0</v>
      </c>
    </row>
    <row r="24" spans="1:7" x14ac:dyDescent="0.25">
      <c r="A24" s="98"/>
      <c r="B24" s="17"/>
      <c r="C24" s="5"/>
      <c r="D24" s="5"/>
      <c r="E24" s="10"/>
      <c r="F24" s="10"/>
      <c r="G24" s="10"/>
    </row>
    <row r="25" spans="1:7" x14ac:dyDescent="0.25">
      <c r="A25" s="113" t="s">
        <v>2599</v>
      </c>
      <c r="B25" s="100">
        <v>2</v>
      </c>
      <c r="C25" s="100">
        <v>1</v>
      </c>
      <c r="D25" s="100">
        <v>2</v>
      </c>
      <c r="E25" s="100">
        <v>2</v>
      </c>
      <c r="F25" s="100">
        <v>0</v>
      </c>
      <c r="G25" s="100">
        <v>2</v>
      </c>
    </row>
    <row r="26" spans="1:7" x14ac:dyDescent="0.25">
      <c r="A26" s="99" t="s">
        <v>2600</v>
      </c>
      <c r="B26" s="52">
        <f>(LEN(VLOOKUP(B2, 'Monster Database'!A1:Z9999, 22, FALSE))-LEN(SUBSTITUTE(VLOOKUP(B2, 'Monster Database'!A1:Z9999, 22, FALSE),"27","")))/2</f>
        <v>2</v>
      </c>
      <c r="C26" s="52">
        <f>(LEN(VLOOKUP(C2, 'Monster Database'!A1:Z9999, 22, FALSE))-LEN(SUBSTITUTE(VLOOKUP(C2, 'Monster Database'!A1:Z9999, 22, FALSE),"27","")))/2</f>
        <v>1</v>
      </c>
      <c r="D26" s="52">
        <f>(LEN(VLOOKUP(D2, 'Monster Database'!A1:Z9999, 22, FALSE))-LEN(SUBSTITUTE(VLOOKUP(D2, 'Monster Database'!A1:Z9999, 22, FALSE),"27","")))/2</f>
        <v>2</v>
      </c>
      <c r="E26" s="52">
        <f>(LEN(VLOOKUP(E2, 'Monster Database'!A1:Z9999, 22, FALSE))-LEN(SUBSTITUTE(VLOOKUP(E2, 'Monster Database'!A1:Z9999, 22, FALSE),"27","")))/2</f>
        <v>2</v>
      </c>
      <c r="F26" s="52">
        <f>(LEN(VLOOKUP(F2, 'Monster Database'!A1:Z9999, 22, FALSE))-LEN(SUBSTITUTE(VLOOKUP(F2, 'Monster Database'!A1:Z9999, 22, FALSE),"27","")))/2</f>
        <v>0</v>
      </c>
      <c r="G26" s="52">
        <f>(LEN(VLOOKUP(G2, 'Monster Database'!A1:Z9999, 22, FALSE))-LEN(SUBSTITUTE(VLOOKUP(G2, 'Monster Database'!A1:Z9999, 22, FALSE),"27","")))/2</f>
        <v>2</v>
      </c>
    </row>
    <row r="27" spans="1:7" x14ac:dyDescent="0.25">
      <c r="A27" s="5"/>
      <c r="B27" s="17"/>
      <c r="C27" s="5"/>
      <c r="D27" s="5"/>
      <c r="E27" s="10"/>
      <c r="F27" s="10"/>
      <c r="G27" s="10"/>
    </row>
    <row r="28" spans="1:7" x14ac:dyDescent="0.25">
      <c r="A28" s="118" t="s">
        <v>45</v>
      </c>
      <c r="B28" s="158">
        <v>99</v>
      </c>
      <c r="C28" s="159">
        <v>0</v>
      </c>
      <c r="D28" s="155">
        <v>0</v>
      </c>
      <c r="E28" s="133">
        <v>0</v>
      </c>
      <c r="F28" s="133">
        <v>0</v>
      </c>
      <c r="G28" s="153">
        <v>99</v>
      </c>
    </row>
    <row r="29" spans="1:7" x14ac:dyDescent="0.25">
      <c r="A29" s="120" t="s">
        <v>46</v>
      </c>
      <c r="B29" s="157">
        <v>99</v>
      </c>
      <c r="C29" s="160">
        <v>0</v>
      </c>
      <c r="D29" s="154">
        <v>0</v>
      </c>
      <c r="E29" s="150">
        <v>0</v>
      </c>
      <c r="F29" s="151">
        <v>0</v>
      </c>
      <c r="G29" s="142">
        <v>99</v>
      </c>
    </row>
    <row r="30" spans="1:7" x14ac:dyDescent="0.25">
      <c r="A30" s="119" t="s">
        <v>47</v>
      </c>
      <c r="B30" s="145">
        <v>99</v>
      </c>
      <c r="C30" s="152">
        <v>0</v>
      </c>
      <c r="D30" s="132">
        <v>0</v>
      </c>
      <c r="E30" s="152">
        <v>0</v>
      </c>
      <c r="F30" s="132">
        <v>0</v>
      </c>
      <c r="G30" s="143">
        <v>99</v>
      </c>
    </row>
    <row r="31" spans="1:7" x14ac:dyDescent="0.25">
      <c r="A31" s="5"/>
      <c r="B31" s="17"/>
      <c r="G31" s="68"/>
    </row>
    <row r="32" spans="1:7" x14ac:dyDescent="0.25">
      <c r="A32" s="123" t="s">
        <v>2136</v>
      </c>
      <c r="B32" s="72">
        <f>ROUND((VLOOKUP(B2, 'Monster Database'!A1:Z9999, 10, FALSE)+(VLOOKUP(B2, 'Monster Database'!A1:Z9999, 11, FALSE)-VLOOKUP(B2, 'Monster Database'!A1:Z9999, 10, FALSE))*(((IF(ISBLANK(B8),1,B8)-1)/MAX((VLOOKUP(B2, 'Monster Database'!A1:Z9999, 5, FALSE)-1),1))^VLOOKUP(B2, 'Monster Database'!A1:Z9999, 12, FALSE))),0)+B28*10+B16*100</f>
        <v>3130</v>
      </c>
      <c r="C32" s="73">
        <f>ROUND((VLOOKUP(C2, 'Monster Database'!A1:Z9999, 10, FALSE)+(VLOOKUP(C2, 'Monster Database'!A1:Z9999, 11, FALSE)-VLOOKUP(C2, 'Monster Database'!A1:Z9999, 10, FALSE))*(((IF(ISBLANK(C8),1,C8)-1)/MAX((VLOOKUP(C2, 'Monster Database'!A1:Z9999, 5, FALSE)-1),1))^VLOOKUP(C2, 'Monster Database'!A1:Z9999, 12, FALSE))),0)+C28*10+C16*100</f>
        <v>2397</v>
      </c>
      <c r="D32" s="74">
        <f>ROUND((VLOOKUP(D2, 'Monster Database'!A1:Z9999, 10, FALSE)+(VLOOKUP(D2, 'Monster Database'!A1:Z9999, 11, FALSE)-VLOOKUP(D2, 'Monster Database'!A1:Z9999, 10, FALSE))*(((IF(ISBLANK(D8),1,D8)-1)/MAX((VLOOKUP(D2, 'Monster Database'!A1:Z9999, 5, FALSE)-1),1))^VLOOKUP(D2, 'Monster Database'!A1:Z9999, 12, FALSE))),0)+D28*10+D16*100</f>
        <v>1941</v>
      </c>
      <c r="E32" s="74">
        <f>ROUND((VLOOKUP(E2, 'Monster Database'!A1:Z9999, 10, FALSE)+(VLOOKUP(E2, 'Monster Database'!A1:Z9999, 11, FALSE)-VLOOKUP(E2, 'Monster Database'!A1:Z9999, 10, FALSE))*(((IF(ISBLANK(E8),1,E8)-1)/MAX((VLOOKUP(E2, 'Monster Database'!A1:Z9999, 5, FALSE)-1),1))^VLOOKUP(E2, 'Monster Database'!A1:Z9999, 12, FALSE))),0)+E28*10+E16*100</f>
        <v>1941</v>
      </c>
      <c r="F32" s="75">
        <f>ROUND((VLOOKUP(F2, 'Monster Database'!A1:Z9999, 10, FALSE)+(VLOOKUP(F2, 'Monster Database'!A1:Z9999, 11, FALSE)-VLOOKUP(F2, 'Monster Database'!A1:Z9999, 10, FALSE))*(((IF(ISBLANK(F8),1,F8)-1)/MAX((VLOOKUP(F2, 'Monster Database'!A1:Z9999, 5, FALSE)-1),1))^VLOOKUP(F2, 'Monster Database'!A1:Z9999, 12, FALSE))),0)+F28*10+F16*100</f>
        <v>2525</v>
      </c>
      <c r="G32" s="76">
        <f>ROUND((VLOOKUP(G2, 'Monster Database'!A1:Z9999, 10, FALSE)+(VLOOKUP(G2, 'Monster Database'!A1:Z9999, 11, FALSE)-VLOOKUP(G2, 'Monster Database'!A1:Z9999, 10, FALSE))*(((IF(ISBLANK(G8),1,G8)-1)/MAX((VLOOKUP(G2, 'Monster Database'!A1:Z9999, 5, FALSE)-1),1))^VLOOKUP(G2, 'Monster Database'!A1:Z9999, 12, FALSE))),0)+G28*10+G16*100</f>
        <v>3130</v>
      </c>
    </row>
    <row r="33" spans="1:7" x14ac:dyDescent="0.25">
      <c r="A33" s="124" t="s">
        <v>2137</v>
      </c>
      <c r="B33" s="77">
        <f>ROUND((VLOOKUP(B2, 'Monster Database'!A1:Z9999, 13, FALSE)+(VLOOKUP(B2, 'Monster Database'!A1:Z9999, 14, FALSE)-VLOOKUP(B2, 'Monster Database'!A1:Z9999, 13, FALSE))*(((IF(ISBLANK(B8),1,B8)-1)/MAX((VLOOKUP(B2, 'Monster Database'!A1:Z9999, 5, FALSE)-1),1))^VLOOKUP(B2, 'Monster Database'!A1:Z9999, 15, FALSE))),0)+B29*5+B19*50</f>
        <v>2509</v>
      </c>
      <c r="C33" s="78">
        <f>ROUND((VLOOKUP(C2, 'Monster Database'!A1:Z9999, 13, FALSE)+(VLOOKUP(C2, 'Monster Database'!A1:Z9999, 14, FALSE)-VLOOKUP(C2, 'Monster Database'!A1:Z9999, 13, FALSE))*(((IF(ISBLANK(C8),1,C8)-1)/MAX((VLOOKUP(C2, 'Monster Database'!A1:Z9999, 5, FALSE)-1),1))^VLOOKUP(C2, 'Monster Database'!A1:Z9999, 15, FALSE))),0)+C29*5+C19*50</f>
        <v>1886</v>
      </c>
      <c r="D33" s="79">
        <f>ROUND((VLOOKUP(D2, 'Monster Database'!A1:Z9999, 13, FALSE)+(VLOOKUP(D2, 'Monster Database'!A1:Z9999, 14, FALSE)-VLOOKUP(D2, 'Monster Database'!A1:Z9999, 13, FALSE))*(((IF(ISBLANK(D8),1,D8)-1)/MAX((VLOOKUP(D2, 'Monster Database'!A1:Z9999, 5, FALSE)-1),1))^VLOOKUP(D2, 'Monster Database'!A1:Z9999, 15, FALSE))),0)+D29*5+D19*50</f>
        <v>1742</v>
      </c>
      <c r="E33" s="79">
        <f>ROUND((VLOOKUP(E2, 'Monster Database'!A1:Z9999, 13, FALSE)+(VLOOKUP(E2, 'Monster Database'!A1:Z9999, 14, FALSE)-VLOOKUP(E2, 'Monster Database'!A1:Z9999, 13, FALSE))*(((IF(ISBLANK(E8),1,E8)-1)/MAX((VLOOKUP(E2, 'Monster Database'!A1:Z9999, 5, FALSE)-1),1))^VLOOKUP(E2, 'Monster Database'!A1:Z9999, 15, FALSE))),0)+E29*5+E19*50</f>
        <v>1742</v>
      </c>
      <c r="F33" s="80">
        <f>ROUND((VLOOKUP(F2, 'Monster Database'!A1:Z9999, 13, FALSE)+(VLOOKUP(F2, 'Monster Database'!A1:Z9999, 14, FALSE)-VLOOKUP(F2, 'Monster Database'!A1:Z9999, 13, FALSE))*(((IF(ISBLANK(F8),1,F8)-1)/MAX((VLOOKUP(F2, 'Monster Database'!A1:Z9999, 5, FALSE)-1),1))^VLOOKUP(F2, 'Monster Database'!A1:Z9999, 15, FALSE))),0)+F29*5+F19*50</f>
        <v>1645</v>
      </c>
      <c r="G33" s="81">
        <f>ROUND((VLOOKUP(G2, 'Monster Database'!A1:Z9999, 13, FALSE)+(VLOOKUP(G2, 'Monster Database'!A1:Z9999, 14, FALSE)-VLOOKUP(G2, 'Monster Database'!A1:Z9999, 13, FALSE))*(((IF(ISBLANK(G8),1,G8)-1)/MAX((VLOOKUP(G2, 'Monster Database'!A1:Z9999, 5, FALSE)-1),1))^VLOOKUP(G2, 'Monster Database'!A1:Z9999, 15, FALSE))),0)+G29*5+G19*50</f>
        <v>2509</v>
      </c>
    </row>
    <row r="34" spans="1:7" x14ac:dyDescent="0.25">
      <c r="A34" s="125" t="s">
        <v>2138</v>
      </c>
      <c r="B34" s="82">
        <f>ROUND((VLOOKUP(B2, 'Monster Database'!A1:Z9999, 16, FALSE)+(VLOOKUP(B2, 'Monster Database'!A1:Z9999, 17, FALSE)-VLOOKUP(B2, 'Monster Database'!A1:Z9999, 16, FALSE))*(((IF(ISBLANK(B8),1,B8)-1)/MAX((VLOOKUP(B2, 'Monster Database'!A1:Z9999, 5, FALSE)-1),1))^VLOOKUP(B2, 'Monster Database'!A1:Z9999, 18, FALSE))),0)+B30*3+B22*30</f>
        <v>711</v>
      </c>
      <c r="C34" s="83">
        <f>ROUND((VLOOKUP(C2, 'Monster Database'!A1:Z9999, 16, FALSE)+(VLOOKUP(C2, 'Monster Database'!A1:Z9999, 17, FALSE)-VLOOKUP(C2, 'Monster Database'!A1:Z9999, 16, FALSE))*(((IF(ISBLANK(C8),1,C8)-1)/MAX((VLOOKUP(C2, 'Monster Database'!A1:Z9999, 5, FALSE)-1),1))^VLOOKUP(C2, 'Monster Database'!A1:Z9999, 18, FALSE))),0)+C30*3+C22*30</f>
        <v>216</v>
      </c>
      <c r="D34" s="83">
        <f>ROUND((VLOOKUP(D2, 'Monster Database'!A1:Z9999, 16, FALSE)+(VLOOKUP(D2, 'Monster Database'!A1:Z9999, 17, FALSE)-VLOOKUP(D2, 'Monster Database'!A1:Z9999, 16, FALSE))*(((IF(ISBLANK(D8),1,D8)-1)/MAX((VLOOKUP(D2, 'Monster Database'!A1:Z9999, 5, FALSE)-1),1))^VLOOKUP(D2, 'Monster Database'!A1:Z9999, 18, FALSE))),0)+D30*3+D22*30</f>
        <v>96</v>
      </c>
      <c r="E34" s="84">
        <f>ROUND((VLOOKUP(E2, 'Monster Database'!A1:Z9999, 16, FALSE)+(VLOOKUP(E2, 'Monster Database'!A1:Z9999, 17, FALSE)-VLOOKUP(E2, 'Monster Database'!A1:Z9999, 16, FALSE))*(((IF(ISBLANK(E8),1,E8)-1)/MAX((VLOOKUP(E2, 'Monster Database'!A1:Z9999, 5, FALSE)-1),1))^VLOOKUP(E2, 'Monster Database'!A1:Z9999, 18, FALSE))),0)+E30*3+E22*30</f>
        <v>96</v>
      </c>
      <c r="F34" s="85">
        <f>ROUND((VLOOKUP(F2, 'Monster Database'!A1:Z9999, 16, FALSE)+(VLOOKUP(F2, 'Monster Database'!A1:Z9999, 17, FALSE)-VLOOKUP(F2, 'Monster Database'!A1:Z9999, 16, FALSE))*(((IF(ISBLANK(F8),1,F8)-1)/MAX((VLOOKUP(F2, 'Monster Database'!A1:Z9999, 5, FALSE)-1),1))^VLOOKUP(F2, 'Monster Database'!A1:Z9999, 18, FALSE))),0)+F30*3+F22*30</f>
        <v>353</v>
      </c>
      <c r="G34" s="86">
        <f>ROUND((VLOOKUP(G2, 'Monster Database'!A1:Z9999, 16, FALSE)+(VLOOKUP(G2, 'Monster Database'!A1:Z9999, 17, FALSE)-VLOOKUP(G2, 'Monster Database'!A1:Z9999, 16, FALSE))*(((IF(ISBLANK(G8),1,G8)-1)/MAX((VLOOKUP(G2, 'Monster Database'!A1:Z9999, 5, FALSE)-1),1))^VLOOKUP(G2, 'Monster Database'!A1:Z9999, 18, FALSE))),0)+G30*3+G22*30</f>
        <v>711</v>
      </c>
    </row>
    <row r="35" spans="1:7" x14ac:dyDescent="0.25">
      <c r="A35" s="9"/>
      <c r="B35" s="14"/>
      <c r="G35" s="12"/>
    </row>
    <row r="36" spans="1:7" x14ac:dyDescent="0.25">
      <c r="A36" s="121" t="s">
        <v>8</v>
      </c>
      <c r="B36" s="126">
        <v>1</v>
      </c>
      <c r="C36" s="156" t="s">
        <v>29</v>
      </c>
      <c r="D36" s="131" t="s">
        <v>42</v>
      </c>
      <c r="E36" s="19" t="s">
        <v>30</v>
      </c>
    </row>
    <row r="37" spans="1:7" x14ac:dyDescent="0.25">
      <c r="A37" s="122" t="s">
        <v>9</v>
      </c>
      <c r="B37" s="127">
        <v>1</v>
      </c>
      <c r="C37" s="129" t="s">
        <v>29</v>
      </c>
      <c r="D37" s="130" t="s">
        <v>42</v>
      </c>
      <c r="E37" s="20" t="s">
        <v>30</v>
      </c>
    </row>
    <row r="38" spans="1:7" ht="18.75" x14ac:dyDescent="0.3">
      <c r="A38" s="16" t="s">
        <v>27</v>
      </c>
      <c r="B38" s="24">
        <f>ROUND((B32)*IF(OR(D36=B11,D36=B12,D36=B13,D36=B14,D36="ALL"),IF(ISBLANK(B36),1,B36),1)*IF(OR(D37=B11,D37=B12,D37=B13,D37=B14,D37="ALL"),IF(ISBLANK(B37),1,B37),1),0)+ROUND((C32)*IF(OR(D36=C11,D36=C12,D36=C13,D36=C14,D36="ALL"),IF(ISBLANK(B36),1,B36),1)*IF(OR(D37=C11,D37=C12,D37=C13,D37=C14,D37="ALL"),IF(ISBLANK(B37),1,B37),1),0)+ROUND((D32)*IF(OR(D36=D11,D36=D12,D36=D13,D36=D14,D36="ALL"),IF(ISBLANK(B36),1,B36),1)*IF(OR(D37=D11,D37=D12,D37=D13,D37=D14,D37="ALL"),IF(ISBLANK(B37),1,B37),1),0)+ROUND((E32)*IF(OR(D36=E11,D36=E12,D36=E13,D36=E14,D36="ALL"),IF(ISBLANK(B36),1,B36),1)*IF(OR(D37=E11,D37=E12,D37=E13,D37=E14,D37="ALL"),IF(ISBLANK(B37),1,B37),1),0)+ROUND((F32)*IF(OR(D36=F11,D36=F12,D36=F13,D36=F14,D36="ALL"),IF(ISBLANK(B36),1,B36),1)*IF(OR(D37=F11,D37=F12,D37=F13,D37=F14,D37="ALL"),IF(ISBLANK(B37),1,B37),1),0)+ROUND((G32)*IF(OR(D36=G11,D36=G12,D36=G13,D36=G14,D36="ALL"),IF(ISBLANK(B36),1,B36),1)*IF(OR(D37=G11,D37=G12,D37=G13,D37=G14,D37="ALL"),IF(ISBLANK(B37),1,B37),1),0)</f>
        <v>15064</v>
      </c>
      <c r="D38" s="13"/>
    </row>
    <row r="39" spans="1:7" x14ac:dyDescent="0.25">
      <c r="A39" s="121" t="s">
        <v>12</v>
      </c>
      <c r="B39" s="126">
        <v>1</v>
      </c>
      <c r="C39" s="128" t="s">
        <v>29</v>
      </c>
      <c r="D39" s="131" t="s">
        <v>42</v>
      </c>
      <c r="E39" s="19" t="s">
        <v>30</v>
      </c>
    </row>
    <row r="40" spans="1:7" x14ac:dyDescent="0.25">
      <c r="A40" s="122" t="s">
        <v>13</v>
      </c>
      <c r="B40" s="127">
        <v>1</v>
      </c>
      <c r="C40" s="129" t="s">
        <v>29</v>
      </c>
      <c r="D40" s="130" t="s">
        <v>42</v>
      </c>
      <c r="E40" s="20" t="s">
        <v>30</v>
      </c>
    </row>
    <row r="41" spans="1:7" ht="18.75" x14ac:dyDescent="0.3">
      <c r="A41" s="16" t="s">
        <v>28</v>
      </c>
      <c r="B41" s="25">
        <f>ROUND((B34)*IF(OR(D39=B11,D39=B12,D39=B13,D39=B14,D39="ALL"),IF(ISBLANK(B39),1,B39),1)*IF(OR(D40=B11,D40=B12,D40=B13,D40=B14,D40="ALL"),IF(ISBLANK(B40),1,B40),1),0)+ROUND((C34)*IF(OR(D39=C11,D39=C12,D39=C13,D39=C14,D39="ALL"),IF(ISBLANK(B39),1,B39),1)*IF(OR(D40=C11,D40=C12,D40=C13,D40=C14,D40="ALL"),IF(ISBLANK(B40),1,B40),1),0)+ROUND((D34)*IF(OR(D39=D11,D39=D12,D39=D13,D39=D14,D39="ALL"),IF(ISBLANK(B39),1,B39),1)*IF(OR(D40=D11,D40=D12,D40=D13,D40=D14,D40="ALL"),IF(ISBLANK(B40),1,B40),1),0)+ROUND((E34)*IF(OR(D39=E11,D39=E12,D39=E13,D39=E14,D39="ALL"),IF(ISBLANK(B39),1,B39),1)*IF(OR(D40=E11,D40=E12,D40=E13,D40=E14,D40="ALL"),IF(ISBLANK(B40),1,B40),1),0)+ROUND((F34)*IF(OR(D39=F11,D39=F12,D39=F13,D39=F14,D39="ALL"),IF(ISBLANK(B39),1,B39),1)*IF(OR(D40=F11,D40=F12,D40=F13,D40=F14,D40="ALL"),IF(ISBLANK(B40),1,B40),1),0)+ROUND((G34)*IF(OR(D39=G11,D39=G12,D39=G13,D39=G14,D39="ALL"),IF(ISBLANK(B39),1,B39),1)*IF(OR(D40=G11,D40=G12,D40=G13,D40=G14,D40="ALL"),IF(ISBLANK(B40),1,B40),1),0)</f>
        <v>2183</v>
      </c>
    </row>
    <row r="42" spans="1:7" x14ac:dyDescent="0.25">
      <c r="A42" s="5"/>
      <c r="B42" s="8"/>
    </row>
    <row r="43" spans="1:7" ht="18.75" x14ac:dyDescent="0.3">
      <c r="A43" s="37"/>
      <c r="B43" s="26" t="s">
        <v>2</v>
      </c>
      <c r="C43" s="26" t="s">
        <v>4</v>
      </c>
      <c r="D43" s="26" t="s">
        <v>3</v>
      </c>
      <c r="E43" s="26" t="s">
        <v>5</v>
      </c>
      <c r="F43" s="26" t="s">
        <v>6</v>
      </c>
    </row>
    <row r="44" spans="1:7" ht="18.75" x14ac:dyDescent="0.3">
      <c r="A44" s="16" t="s">
        <v>0</v>
      </c>
      <c r="B44" s="27">
        <f>IF(AND(B11="FIRE",B12="FIRE"),ROUND((B33)*1.1,0),IF(AND(B11="FIRE",B12&lt;&gt;"FIRE"),(B33),IF(AND(B11&lt;&gt;"FIRE",B12="FIRE"),ROUND((B33)/3,0),0)))+IF(AND(C11="FIRE",C12="FIRE"),ROUND((C33)*1.1,0),IF(AND(C11="FIRE",C12&lt;&gt;"FIRE"),(C33),IF(AND(C11&lt;&gt;"FIRE",C12="FIRE"),ROUND((C33)/3,0),0)))+IF(AND(D11="FIRE",D12="FIRE"),ROUND((D33)*1.1,0),IF(AND(D11="FIRE",D12&lt;&gt;"FIRE"),(D33),IF(AND(D11&lt;&gt;"FIRE",D12="FIRE"),ROUND((D33)/3,0),0)))+IF(AND(E11="FIRE",E12="FIRE"),ROUND((E33)*1.1,0),IF(AND(E11="FIRE",E12&lt;&gt;"FIRE"),(E33),IF(AND(E11&lt;&gt;"FIRE",E12="FIRE"),ROUND((E33)/3,0),0)))+IF(AND(F11="FIRE",F12="FIRE"),ROUND((F33)*1.1,0),IF(AND(F11="FIRE",F12&lt;&gt;"FIRE"),(F33),IF(AND(F11&lt;&gt;"FIRE",F12="FIRE"),ROUND((F33)/3,0),0)))+IF(AND(G11="FIRE",G12="FIRE"),ROUND((G33)*1.1,0),IF(AND(G11="FIRE",G12&lt;&gt;"FIRE"),(G33),IF(AND(G11&lt;&gt;"FIRE",G12="FIRE"),ROUND((G33)/3,0),0)))</f>
        <v>0</v>
      </c>
      <c r="C44" s="28">
        <f>IF(AND(B11="WATER",B12="WATER"),ROUND((B33)*1.1,0),IF(AND(B11="WATER",B12&lt;&gt;"WATER"),(B33),IF(AND(B11&lt;&gt;"WATER",B12="WATER"),ROUND((B33)/3,0),0)))+IF(AND(C11="WATER",C12="WATER"),ROUND((C33)*1.1,0),IF(AND(C11="WATER",C12&lt;&gt;"WATER"),(C33),IF(AND(C11&lt;&gt;"WATER",C12="WATER"),ROUND((C33)/3,0),0)))+IF(AND(D11="WATER",D12="WATER"),ROUND((D33)*1.1,0),IF(AND(D11="WATER",D12&lt;&gt;"WATER"),(D33),IF(AND(D11&lt;&gt;"WATER",D12="WATER"),ROUND((D33)/3,0),0)))+IF(AND(E11="WATER",E12="WATER"),ROUND((E33)*1.1,0),IF(AND(E11="WATER",E12&lt;&gt;"WATER"),(E33),IF(AND(E11&lt;&gt;"WATER",E12="WATER"),ROUND((E33)/3,0),0)))+IF(AND(F11="WATER",F12="WATER"),ROUND((F33)*1.1,0),IF(AND(F11="WATER",F12&lt;&gt;"WATER"),(F33),IF(AND(F11&lt;&gt;"WATER",F12="WATER"),ROUND((F33)/3,0),0)))+IF(AND(G11="WATER",G12="WATER"),ROUND((G33)*1.1,0),IF(AND(G11="WATER",G12&lt;&gt;"WATER"),(G33),IF(AND(G11&lt;&gt;"WATER",G12="WATER"),ROUND((G33)/3,0),0)))</f>
        <v>1162</v>
      </c>
      <c r="D44" s="29">
        <f>IF(AND(B11="WOOD",B12="WOOD"),ROUND((B33)*1.1,0),IF(AND(B11="WOOD",B12&lt;&gt;"WOOD"),(B33),IF(AND(B11&lt;&gt;"WOOD",B12="WOOD"),ROUND((B33)/3,0),0)))+IF(AND(C11="WOOD",C12="WOOD"),ROUND((C33)*1.1,0),IF(AND(C11="WOOD",C12&lt;&gt;"WOOD"),(C33),IF(AND(C11&lt;&gt;"WOOD",C12="WOOD"),ROUND((C33)/3,0),0)))+IF(AND(D11="WOOD",D12="WOOD"),ROUND((D33)*1.1,0),IF(AND(D11="WOOD",D12&lt;&gt;"WOOD"),(D33),IF(AND(D11&lt;&gt;"WOOD",D12="WOOD"),ROUND((D33)/3,0),0)))+IF(AND(E11="WOOD",E12="WOOD"),ROUND((E33)*1.1,0),IF(AND(E11="WOOD",E12&lt;&gt;"WOOD"),(E33),IF(AND(E11&lt;&gt;"WOOD",E12="WOOD"),ROUND((E33)/3,0),0)))+IF(AND(F11="WOOD",F12="WOOD"),ROUND((F33)*1.1,0),IF(AND(F11="WOOD",F12&lt;&gt;"WOOD"),(F33),IF(AND(F11&lt;&gt;"WOOD",F12="WOOD"),ROUND((F33)/3,0),0)))+IF(AND(G11="WOOD",G12="WOOD"),ROUND((G33)*1.1,0),IF(AND(G11="WOOD",G12&lt;&gt;"WOOD"),(G33),IF(AND(G11&lt;&gt;"WOOD",G12="WOOD"),ROUND((G33)/3,0),0)))</f>
        <v>12222</v>
      </c>
      <c r="E44" s="30">
        <f>IF(AND(B11="LIGHT",B12="LIGHT"),ROUND((B33)*1.1,0),IF(AND(B11="LIGHT",B12&lt;&gt;"LIGHT"),(B33),IF(AND(B11&lt;&gt;"LIGHT",B12="LIGHT"),ROUND((B33)/3,0),0)))+IF(AND(C11="LIGHT",C12="LIGHT"),ROUND((C33)*1.1,0),IF(AND(C11="LIGHT",C12&lt;&gt;"LIGHT"),(C33),IF(AND(C11&lt;&gt;"LIGHT",C12="LIGHT"),ROUND((C33)/3,0),0)))+IF(AND(D11="LIGHT",D12="LIGHT"),ROUND((D33)*1.1,0),IF(AND(D11="LIGHT",D12&lt;&gt;"LIGHT"),(D33),IF(AND(D11&lt;&gt;"LIGHT",D12="LIGHT"),ROUND((D33)/3,0),0)))+IF(AND(E11="LIGHT",E12="LIGHT"),ROUND((E33)*1.1,0),IF(AND(E11="LIGHT",E12&lt;&gt;"LIGHT"),(E33),IF(AND(E11&lt;&gt;"LIGHT",E12="LIGHT"),ROUND((E33)/3,0),0)))+IF(AND(F11="LIGHT",F12="LIGHT"),ROUND((F33)*1.1,0),IF(AND(F11="LIGHT",F12&lt;&gt;"LIGHT"),(F33),IF(AND(F11&lt;&gt;"LIGHT",F12="LIGHT"),ROUND((F33)/3,0),0)))+IF(AND(G11="LIGHT",G12="LIGHT"),ROUND((G33)*1.1,0),IF(AND(G11="LIGHT",G12&lt;&gt;"LIGHT"),(G33),IF(AND(G11&lt;&gt;"LIGHT",G12="LIGHT"),ROUND((G33)/3,0),0)))</f>
        <v>0</v>
      </c>
      <c r="F44" s="31">
        <f>IF(AND(B11="DARK",B12="DARK"),ROUND((B33)*1.1,0),IF(AND(B11="DARK",B12&lt;&gt;"DARK"),(B33),IF(AND(B11&lt;&gt;"DARK",B12="DARK"),ROUND((B33)/3,0),0)))+IF(AND(C11="DARK",C12="DARK"),ROUND((C33)*1.1,0),IF(AND(C11="DARK",C12&lt;&gt;"DARK"),(C33),IF(AND(C11&lt;&gt;"DARK",C12="DARK"),ROUND((C33)/3,0),0)))+IF(AND(D11="DARK",D12="DARK"),ROUND((D33)*1.1,0),IF(AND(D11="DARK",D12&lt;&gt;"DARK"),(D33),IF(AND(D11&lt;&gt;"DARK",D12="DARK"),ROUND((D33)/3,0),0)))+IF(AND(E11="DARK",E12="DARK"),ROUND((E33)*1.1,0),IF(AND(E11="DARK",E12&lt;&gt;"DARK"),(E33),IF(AND(E11&lt;&gt;"DARK",E12="DARK"),ROUND((E33)/3,0),0)))+IF(AND(F11="DARK",F12="DARK"),ROUND((F33)*1.1,0),IF(AND(F11="DARK",F12&lt;&gt;"DARK"),(F33),IF(AND(F11&lt;&gt;"DARK",F12="DARK"),ROUND((F33)/3,0),0)))+IF(AND(G11="DARK",G12="DARK"),ROUND((G33)*1.1,0),IF(AND(G11="DARK",G12&lt;&gt;"DARK"),(G33),IF(AND(G11&lt;&gt;"DARK",G12="DARK"),ROUND((G33)/3,0),0)))</f>
        <v>1672</v>
      </c>
    </row>
    <row r="45" spans="1:7" x14ac:dyDescent="0.25">
      <c r="A45" s="5"/>
      <c r="B45" s="8"/>
    </row>
    <row r="46" spans="1:7" x14ac:dyDescent="0.25">
      <c r="A46" s="114" t="s">
        <v>2147</v>
      </c>
      <c r="B46" s="102" t="s">
        <v>31</v>
      </c>
      <c r="C46" s="102" t="s">
        <v>31</v>
      </c>
      <c r="D46" s="102" t="s">
        <v>31</v>
      </c>
      <c r="E46" s="102" t="s">
        <v>31</v>
      </c>
      <c r="F46" s="102" t="s">
        <v>31</v>
      </c>
    </row>
    <row r="47" spans="1:7" x14ac:dyDescent="0.25">
      <c r="A47" s="110" t="s">
        <v>2148</v>
      </c>
      <c r="B47" s="91">
        <f>((LEN(VLOOKUP(B2, 'Monster Database'!A1:Z9999, 22, FALSE))-LEN(SUBSTITUTE(VLOOKUP(B2, 'Monster Database'!A1:Z9999, 22, FALSE),"14","")))/2+(LEN(VLOOKUP(C2, 'Monster Database'!A1:Z9999, 22, FALSE))-LEN(SUBSTITUTE(VLOOKUP(C2, 'Monster Database'!A1:Z9999, 22, FALSE),"14","")))/2+(LEN(VLOOKUP(D2, 'Monster Database'!A1:Z9999, 22, FALSE))-LEN(SUBSTITUTE(VLOOKUP(D2, 'Monster Database'!A1:Z9999, 22, FALSE),"14","")))/2+(LEN(VLOOKUP(E2, 'Monster Database'!A1:Z9999, 22, FALSE))-LEN(SUBSTITUTE(VLOOKUP(E2, 'Monster Database'!A1:Z9999, 22, FALSE),"14","")))/2+(LEN(VLOOKUP(F2, 'Monster Database'!A1:Z9999, 22, FALSE))-LEN(SUBSTITUTE(VLOOKUP(F2, 'Monster Database'!A1:Z9999, 22, FALSE),"14","")))/2+(LEN(VLOOKUP(G2, 'Monster Database'!A1:Z9999, 22, FALSE))-LEN(SUBSTITUTE(VLOOKUP(G2, 'Monster Database'!A1:Z9999, 22, FALSE),"14","")))/2)*0.2</f>
        <v>0</v>
      </c>
      <c r="C47" s="91">
        <f>((LEN(VLOOKUP(B2, 'Monster Database'!A1:Z9999, 22, FALSE))-LEN(SUBSTITUTE(VLOOKUP(B2, 'Monster Database'!A1:Z9999, 22, FALSE),"15","")))/2+(LEN(VLOOKUP(C2, 'Monster Database'!A1:Z9999, 22, FALSE))-LEN(SUBSTITUTE(VLOOKUP(C2, 'Monster Database'!A1:Z9999, 22, FALSE),"15","")))/2+(LEN(VLOOKUP(D2, 'Monster Database'!A1:Z9999, 22, FALSE))-LEN(SUBSTITUTE(VLOOKUP(D2, 'Monster Database'!A1:Z9999, 22, FALSE),"15","")))/2+(LEN(VLOOKUP(E2, 'Monster Database'!A1:Z9999, 22, FALSE))-LEN(SUBSTITUTE(VLOOKUP(E2, 'Monster Database'!A1:Z9999, 22, FALSE),"15","")))/2+(LEN(VLOOKUP(F2, 'Monster Database'!A1:Z9999, 22, FALSE))-LEN(SUBSTITUTE(VLOOKUP(F2, 'Monster Database'!A1:Z9999, 22, FALSE),"15","")))/2+(LEN(VLOOKUP(G2, 'Monster Database'!A1:Z9999, 22, FALSE))-LEN(SUBSTITUTE(VLOOKUP(G2, 'Monster Database'!A1:Z9999, 22, FALSE),"15","")))/2)*0.2</f>
        <v>0</v>
      </c>
      <c r="D47" s="91">
        <f>((LEN(VLOOKUP(B2, 'Monster Database'!A1:Z9999, 22, FALSE))-LEN(SUBSTITUTE(VLOOKUP(B2, 'Monster Database'!A1:Z9999, 22, FALSE),"16","")))/2+(LEN(VLOOKUP(C2, 'Monster Database'!A1:Z9999, 22, FALSE))-LEN(SUBSTITUTE(VLOOKUP(C2, 'Monster Database'!A1:Z9999, 22, FALSE),"16","")))/2+(LEN(VLOOKUP(D2, 'Monster Database'!A1:Z9999, 22, FALSE))-LEN(SUBSTITUTE(VLOOKUP(D2, 'Monster Database'!A1:Z9999, 22, FALSE),"16","")))/2+(LEN(VLOOKUP(E2, 'Monster Database'!A1:Z9999, 22, FALSE))-LEN(SUBSTITUTE(VLOOKUP(E2, 'Monster Database'!A1:Z9999, 22, FALSE),"16","")))/2+(LEN(VLOOKUP(F2, 'Monster Database'!A1:Z9999, 22, FALSE))-LEN(SUBSTITUTE(VLOOKUP(F2, 'Monster Database'!A1:Z9999, 22, FALSE),"16","")))/2+(LEN(VLOOKUP(G2, 'Monster Database'!A1:Z9999, 22, FALSE))-LEN(SUBSTITUTE(VLOOKUP(G2, 'Monster Database'!A1:Z9999, 22, FALSE),"16","")))/2)*0.2</f>
        <v>0.2</v>
      </c>
      <c r="E47" s="91">
        <f>((LEN(VLOOKUP(B2, 'Monster Database'!A1:Z9999, 22, FALSE))-LEN(SUBSTITUTE(VLOOKUP(B2, 'Monster Database'!A1:Z9999, 22, FALSE),"17","")))/2+(LEN(VLOOKUP(C2, 'Monster Database'!A1:Z9999, 22, FALSE))-LEN(SUBSTITUTE(VLOOKUP(C2, 'Monster Database'!A1:Z9999, 22, FALSE),"17","")))/2+(LEN(VLOOKUP(D2, 'Monster Database'!A1:Z9999, 22, FALSE))-LEN(SUBSTITUTE(VLOOKUP(D2, 'Monster Database'!A1:Z9999, 22, FALSE),"17","")))/2+(LEN(VLOOKUP(E2, 'Monster Database'!A1:Z9999, 22, FALSE))-LEN(SUBSTITUTE(VLOOKUP(E2, 'Monster Database'!A1:Z9999, 22, FALSE),"17","")))/2+(LEN(VLOOKUP(F2, 'Monster Database'!A1:Z9999, 22, FALSE))-LEN(SUBSTITUTE(VLOOKUP(F2, 'Monster Database'!A1:Z9999, 22, FALSE),"17","")))/2+(LEN(VLOOKUP(G2, 'Monster Database'!A1:Z9999, 22, FALSE))-LEN(SUBSTITUTE(VLOOKUP(G2, 'Monster Database'!A1:Z9999, 22, FALSE),"17","")))/2)*0.2</f>
        <v>0</v>
      </c>
      <c r="F47" s="91">
        <f>((LEN(VLOOKUP(B2, 'Monster Database'!A1:Z9999, 22, FALSE))-LEN(SUBSTITUTE(VLOOKUP(B2, 'Monster Database'!A1:Z9999, 22, FALSE),"18","")))/2+(LEN(VLOOKUP(C2, 'Monster Database'!A1:Z9999, 22, FALSE))-LEN(SUBSTITUTE(VLOOKUP(C2, 'Monster Database'!A1:Z9999, 22, FALSE),"18","")))/2+(LEN(VLOOKUP(D2, 'Monster Database'!A1:Z9999, 22, FALSE))-LEN(SUBSTITUTE(VLOOKUP(D2, 'Monster Database'!A1:Z9999, 22, FALSE),"18","")))/2+(LEN(VLOOKUP(E2, 'Monster Database'!A1:Z9999, 22, FALSE))-LEN(SUBSTITUTE(VLOOKUP(E2, 'Monster Database'!A1:Z9999, 22, FALSE),"18","")))/2+(LEN(VLOOKUP(F2, 'Monster Database'!A1:Z9999, 22, FALSE))-LEN(SUBSTITUTE(VLOOKUP(F2, 'Monster Database'!A1:Z9999, 22, FALSE),"18","")))/2+(LEN(VLOOKUP(G2, 'Monster Database'!A1:Z9999, 22, FALSE))-LEN(SUBSTITUTE(VLOOKUP(G2, 'Monster Database'!A1:Z9999, 22, FALSE),"18","")))/2)*0.2</f>
        <v>0</v>
      </c>
    </row>
    <row r="48" spans="1:7" x14ac:dyDescent="0.25">
      <c r="A48" s="18"/>
      <c r="B48" s="22"/>
      <c r="C48" s="22"/>
      <c r="D48" s="22"/>
      <c r="E48" s="22"/>
      <c r="F48" s="22"/>
    </row>
    <row r="49" spans="1:7" x14ac:dyDescent="0.25">
      <c r="A49" s="114" t="s">
        <v>2146</v>
      </c>
      <c r="B49" s="102">
        <v>0</v>
      </c>
      <c r="C49" s="102">
        <v>2</v>
      </c>
      <c r="D49" s="102">
        <v>4</v>
      </c>
      <c r="E49" s="102">
        <v>0</v>
      </c>
      <c r="F49" s="102">
        <v>0</v>
      </c>
    </row>
    <row r="50" spans="1:7" x14ac:dyDescent="0.25">
      <c r="A50" s="110" t="s">
        <v>2145</v>
      </c>
      <c r="B50" s="69">
        <f>(LEN(VLOOKUP(B2, 'Monster Database'!A1:Z9999, 22, FALSE))-LEN(SUBSTITUTE(VLOOKUP(B2, 'Monster Database'!A1:Z9999, 22, FALSE),"22","")))/2+(LEN(VLOOKUP(C2, 'Monster Database'!A1:Z9999, 22, FALSE))-LEN(SUBSTITUTE(VLOOKUP(C2, 'Monster Database'!A1:Z9999, 22, FALSE),"22","")))/2+(LEN(VLOOKUP(D2, 'Monster Database'!A1:Z9999, 22, FALSE))-LEN(SUBSTITUTE(VLOOKUP(D2, 'Monster Database'!A1:Z9999, 22, FALSE),"22","")))/2+(LEN(VLOOKUP(E2, 'Monster Database'!A1:Z9999, 22, FALSE))-LEN(SUBSTITUTE(VLOOKUP(E2, 'Monster Database'!A1:Z9999, 22, FALSE),"22","")))/2+(LEN(VLOOKUP(F2, 'Monster Database'!A1:Z9999, 22, FALSE))-LEN(SUBSTITUTE(VLOOKUP(F2, 'Monster Database'!A1:Z9999, 22, FALSE),"22","")))/2+(LEN(VLOOKUP(G2, 'Monster Database'!A1:Z9999, 22, FALSE))-LEN(SUBSTITUTE(VLOOKUP(G2, 'Monster Database'!A1:Z9999, 22, FALSE),"22","")))/2</f>
        <v>0</v>
      </c>
      <c r="C50" s="69">
        <f>(LEN(VLOOKUP(B2, 'Monster Database'!A1:Z9999, 22, FALSE))-LEN(SUBSTITUTE(VLOOKUP(B2, 'Monster Database'!A1:Z9999, 22, FALSE),"23","")))/2+(LEN(VLOOKUP(C2, 'Monster Database'!A1:Z9999, 22, FALSE))-LEN(SUBSTITUTE(VLOOKUP(C2, 'Monster Database'!A1:Z9999, 22, FALSE),"23","")))/2+(LEN(VLOOKUP(D2, 'Monster Database'!A1:Z9999, 22, FALSE))-LEN(SUBSTITUTE(VLOOKUP(D2, 'Monster Database'!A1:Z9999, 22, FALSE),"23","")))/2+(LEN(VLOOKUP(E2, 'Monster Database'!A1:Z9999, 22, FALSE))-LEN(SUBSTITUTE(VLOOKUP(E2, 'Monster Database'!A1:Z9999, 22, FALSE),"23","")))/2+(LEN(VLOOKUP(F2, 'Monster Database'!A1:Z9999, 22, FALSE))-LEN(SUBSTITUTE(VLOOKUP(F2, 'Monster Database'!A1:Z9999, 22, FALSE),"23","")))/2+(LEN(VLOOKUP(G2, 'Monster Database'!A1:Z9999, 22, FALSE))-LEN(SUBSTITUTE(VLOOKUP(G2, 'Monster Database'!A1:Z9999, 22, FALSE),"23","")))/2</f>
        <v>2</v>
      </c>
      <c r="D50" s="69">
        <f>(LEN(VLOOKUP(B2, 'Monster Database'!A1:Z9999, 22, FALSE))-LEN(SUBSTITUTE(VLOOKUP(B2, 'Monster Database'!A1:Z9999, 22, FALSE),"24","")))/2+(LEN(VLOOKUP(C2, 'Monster Database'!A1:Z9999, 22, FALSE))-LEN(SUBSTITUTE(VLOOKUP(C2, 'Monster Database'!A1:Z9999, 22, FALSE),"24","")))/2+(LEN(VLOOKUP(D2, 'Monster Database'!A1:Z9999, 22, FALSE))-LEN(SUBSTITUTE(VLOOKUP(D2, 'Monster Database'!A1:Z9999, 22, FALSE),"24","")))/2+(LEN(VLOOKUP(E2, 'Monster Database'!A1:Z9999, 22, FALSE))-LEN(SUBSTITUTE(VLOOKUP(E2, 'Monster Database'!A1:Z9999, 22, FALSE),"24","")))/2+(LEN(VLOOKUP(F2, 'Monster Database'!A1:Z9999, 22, FALSE))-LEN(SUBSTITUTE(VLOOKUP(F2, 'Monster Database'!A1:Z9999, 22, FALSE),"24","")))/2+(LEN(VLOOKUP(G2, 'Monster Database'!A1:Z9999, 22, FALSE))-LEN(SUBSTITUTE(VLOOKUP(G2, 'Monster Database'!A1:Z9999, 22, FALSE),"24","")))/2</f>
        <v>4</v>
      </c>
      <c r="E50" s="69">
        <f>(LEN(VLOOKUP(B2, 'Monster Database'!A1:Z9999, 22, FALSE))-LEN(SUBSTITUTE(VLOOKUP(B2, 'Monster Database'!A1:Z9999, 22, FALSE),"25","")))/2+(LEN(VLOOKUP(C2, 'Monster Database'!A1:Z9999, 22, FALSE))-LEN(SUBSTITUTE(VLOOKUP(C2, 'Monster Database'!A1:Z9999, 22, FALSE),"25","")))/2+(LEN(VLOOKUP(D2, 'Monster Database'!A1:Z9999, 22, FALSE))-LEN(SUBSTITUTE(VLOOKUP(D2, 'Monster Database'!A1:Z9999, 22, FALSE),"25","")))/2+(LEN(VLOOKUP(E2, 'Monster Database'!A1:Z9999, 22, FALSE))-LEN(SUBSTITUTE(VLOOKUP(E2, 'Monster Database'!A1:Z9999, 22, FALSE),"25","")))/2+(LEN(VLOOKUP(F2, 'Monster Database'!A1:Z9999, 22, FALSE))-LEN(SUBSTITUTE(VLOOKUP(F2, 'Monster Database'!A1:Z9999, 22, FALSE),"25","")))/2+(LEN(VLOOKUP(G2, 'Monster Database'!A1:Z9999, 22, FALSE))-LEN(SUBSTITUTE(VLOOKUP(G2, 'Monster Database'!A1:Z9999, 22, FALSE),"25","")))/2</f>
        <v>0</v>
      </c>
      <c r="F50" s="69">
        <f>(LEN(VLOOKUP(B2, 'Monster Database'!A1:Z9999, 22, FALSE))-LEN(SUBSTITUTE(VLOOKUP(B2, 'Monster Database'!A1:Z9999, 22, FALSE),"26","")))/2+(LEN(VLOOKUP(C2, 'Monster Database'!A1:Z9999, 22, FALSE))-LEN(SUBSTITUTE(VLOOKUP(C2, 'Monster Database'!A1:Z9999, 22, FALSE),"26","")))/2+(LEN(VLOOKUP(D2, 'Monster Database'!A1:Z9999, 22, FALSE))-LEN(SUBSTITUTE(VLOOKUP(D2, 'Monster Database'!A1:Z9999, 22, FALSE),"26","")))/2+(LEN(VLOOKUP(E2, 'Monster Database'!A1:Z9999, 22, FALSE))-LEN(SUBSTITUTE(VLOOKUP(E2, 'Monster Database'!A1:Z9999, 22, FALSE),"26","")))/2+(LEN(VLOOKUP(F2, 'Monster Database'!A1:Z9999, 22, FALSE))-LEN(SUBSTITUTE(VLOOKUP(F2, 'Monster Database'!A1:Z9999, 22, FALSE),"26","")))/2+(LEN(VLOOKUP(G2, 'Monster Database'!A1:Z9999, 22, FALSE))-LEN(SUBSTITUTE(VLOOKUP(G2, 'Monster Database'!A1:Z9999, 22, FALSE),"26","")))/2</f>
        <v>0</v>
      </c>
    </row>
    <row r="51" spans="1:7" x14ac:dyDescent="0.25">
      <c r="A51" s="5"/>
      <c r="B51" s="8"/>
    </row>
    <row r="52" spans="1:7" x14ac:dyDescent="0.25">
      <c r="A52" s="121" t="s">
        <v>10</v>
      </c>
      <c r="B52" s="139">
        <v>4</v>
      </c>
      <c r="C52" s="128" t="s">
        <v>29</v>
      </c>
      <c r="D52" s="139" t="s">
        <v>24</v>
      </c>
      <c r="E52" s="19" t="s">
        <v>30</v>
      </c>
    </row>
    <row r="53" spans="1:7" x14ac:dyDescent="0.25">
      <c r="A53" s="122" t="s">
        <v>11</v>
      </c>
      <c r="B53" s="138">
        <v>4</v>
      </c>
      <c r="C53" s="129" t="s">
        <v>29</v>
      </c>
      <c r="D53" s="138" t="s">
        <v>24</v>
      </c>
      <c r="E53" s="20" t="s">
        <v>30</v>
      </c>
    </row>
    <row r="54" spans="1:7" x14ac:dyDescent="0.25">
      <c r="A54" s="5"/>
      <c r="B54" s="8"/>
    </row>
    <row r="55" spans="1:7" x14ac:dyDescent="0.25">
      <c r="A55" s="110" t="s">
        <v>1</v>
      </c>
      <c r="B55" s="102">
        <v>2</v>
      </c>
      <c r="C55" s="22" t="s">
        <v>29</v>
      </c>
      <c r="D55" s="102" t="s">
        <v>36</v>
      </c>
      <c r="E55" s="23" t="str">
        <f>IF(OR(D55="FIRE",D55="WATER",D55="WOOD",D55="LIGHT",D55="DARK"),"attribute","monsters")</f>
        <v>monsters</v>
      </c>
    </row>
    <row r="56" spans="1:7" ht="15.75" thickBot="1" x14ac:dyDescent="0.3"/>
    <row r="57" spans="1:7" ht="27" thickBot="1" x14ac:dyDescent="0.45">
      <c r="A57" s="161" t="s">
        <v>82</v>
      </c>
      <c r="B57" s="162"/>
      <c r="C57" s="162"/>
      <c r="D57" s="162"/>
      <c r="E57" s="162"/>
      <c r="F57" s="162"/>
      <c r="G57" s="163"/>
    </row>
    <row r="59" spans="1:7" x14ac:dyDescent="0.25">
      <c r="A59" s="39"/>
      <c r="B59" s="103" t="s">
        <v>2</v>
      </c>
      <c r="C59" s="103" t="s">
        <v>4</v>
      </c>
      <c r="D59" s="103" t="s">
        <v>3</v>
      </c>
      <c r="E59" s="103" t="s">
        <v>5</v>
      </c>
      <c r="F59" s="103" t="s">
        <v>6</v>
      </c>
      <c r="G59" s="104"/>
    </row>
    <row r="60" spans="1:7" x14ac:dyDescent="0.25">
      <c r="A60" s="111" t="s">
        <v>81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4"/>
    </row>
    <row r="61" spans="1:7" x14ac:dyDescent="0.25">
      <c r="A61" s="35"/>
      <c r="B61" s="105"/>
      <c r="C61" s="105"/>
      <c r="D61" s="105"/>
      <c r="E61" s="105"/>
      <c r="F61" s="105"/>
      <c r="G61" s="106"/>
    </row>
    <row r="62" spans="1:7" x14ac:dyDescent="0.25">
      <c r="A62" s="115" t="s">
        <v>52</v>
      </c>
      <c r="B62" s="107" t="s">
        <v>2</v>
      </c>
      <c r="C62" s="103" t="s">
        <v>4</v>
      </c>
      <c r="D62" s="103" t="s">
        <v>3</v>
      </c>
      <c r="E62" s="103" t="s">
        <v>5</v>
      </c>
      <c r="F62" s="103" t="s">
        <v>6</v>
      </c>
      <c r="G62" s="103" t="s">
        <v>7</v>
      </c>
    </row>
    <row r="63" spans="1:7" x14ac:dyDescent="0.25">
      <c r="A63" s="134" t="s">
        <v>53</v>
      </c>
      <c r="B63" s="144">
        <v>1</v>
      </c>
      <c r="C63" s="149">
        <v>1</v>
      </c>
      <c r="D63" s="155">
        <v>0</v>
      </c>
      <c r="E63" s="149">
        <v>1</v>
      </c>
      <c r="F63" s="149">
        <v>1</v>
      </c>
      <c r="G63" s="141">
        <v>1</v>
      </c>
    </row>
    <row r="64" spans="1:7" x14ac:dyDescent="0.25">
      <c r="A64" s="135" t="s">
        <v>56</v>
      </c>
      <c r="B64" s="140">
        <v>0</v>
      </c>
      <c r="C64" s="150">
        <v>0</v>
      </c>
      <c r="D64" s="151">
        <v>4</v>
      </c>
      <c r="E64" s="154">
        <v>0</v>
      </c>
      <c r="F64" s="154">
        <v>0</v>
      </c>
      <c r="G64" s="148">
        <v>0</v>
      </c>
    </row>
    <row r="65" spans="1:7" x14ac:dyDescent="0.25">
      <c r="A65" s="137" t="s">
        <v>57</v>
      </c>
      <c r="B65" s="146">
        <v>0</v>
      </c>
      <c r="C65" s="150">
        <v>0</v>
      </c>
      <c r="D65" s="154">
        <v>0</v>
      </c>
      <c r="E65" s="154">
        <v>0</v>
      </c>
      <c r="F65" s="154">
        <v>0</v>
      </c>
      <c r="G65" s="142">
        <v>0</v>
      </c>
    </row>
    <row r="66" spans="1:7" x14ac:dyDescent="0.25">
      <c r="A66" s="137" t="s">
        <v>59</v>
      </c>
      <c r="B66" s="140">
        <v>0</v>
      </c>
      <c r="C66" s="151">
        <v>0</v>
      </c>
      <c r="D66" s="154">
        <v>0</v>
      </c>
      <c r="E66" s="150">
        <v>0</v>
      </c>
      <c r="F66" s="154">
        <v>0</v>
      </c>
      <c r="G66" s="142">
        <v>0</v>
      </c>
    </row>
    <row r="67" spans="1:7" x14ac:dyDescent="0.25">
      <c r="A67" s="136" t="s">
        <v>54</v>
      </c>
      <c r="B67" s="147">
        <v>0</v>
      </c>
      <c r="C67" s="152">
        <v>0</v>
      </c>
      <c r="D67" s="132">
        <v>0</v>
      </c>
      <c r="E67" s="152">
        <v>0</v>
      </c>
      <c r="F67" s="152">
        <v>0</v>
      </c>
      <c r="G67" s="143">
        <v>0</v>
      </c>
    </row>
    <row r="68" spans="1:7" x14ac:dyDescent="0.25">
      <c r="A68" s="7"/>
    </row>
    <row r="69" spans="1:7" ht="18.75" x14ac:dyDescent="0.3">
      <c r="A69" s="36"/>
      <c r="B69" s="32" t="s">
        <v>2</v>
      </c>
      <c r="C69" s="26" t="s">
        <v>4</v>
      </c>
      <c r="D69" s="26" t="s">
        <v>3</v>
      </c>
      <c r="E69" s="26" t="s">
        <v>5</v>
      </c>
      <c r="F69" s="26" t="s">
        <v>6</v>
      </c>
      <c r="G69" s="34" t="s">
        <v>7</v>
      </c>
    </row>
    <row r="70" spans="1:7" ht="18.75" x14ac:dyDescent="0.3">
      <c r="A70" s="15" t="s">
        <v>48</v>
      </c>
      <c r="B70" s="33">
        <f>IF(B11="FIRE",1,0)*B73+IF(B12="FIRE",1,0)*B74+IF(C11="FIRE",1,0)*C73+IF(C12="FIRE",1,0)*C74+IF(D11="FIRE",1,0)*D73+IF(D12="FIRE",1,0)*D74+IF(E11="FIRE",1,0)*E73+IF(E12="FIRE",1,0)*E74+IF(F11="FIRE",1,0)*F73+IF(F12="FIRE",1,0)*F74+IF(G11="FIRE",1,0)*G73+IF(G12="FIRE",1,0)*G74</f>
        <v>0</v>
      </c>
      <c r="C70" s="28">
        <f>IF(B11="WATER",1,0)*B73+IF(B12="WATER",1,0)*B74+IF(C11="WATER",1,0)*C73+IF(C12="WATER",1,0)*C74+IF(D11="WATER",1,0)*D73+IF(D12="WATER",1,0)*D74+IF(E11="WATER",1,0)*E73+IF(E12="WATER",1,0)*E74+IF(F11="WATER",1,0)*F73+IF(F12="WATER",1,0)*F74+IF(G11="WATER",1,0)*G73+IF(G12="WATER",1,0)*G74</f>
        <v>111552</v>
      </c>
      <c r="D70" s="29">
        <f>IF(B11="WOOD",1,0)*B73+IF(B12="WOOD",1,0)*B74+IF(C11="WOOD",1,0)*C73+IF(C12="WOOD",1,0)*C74+IF(D11="WOOD",1,0)*D73+IF(D12="WOOD",1,0)*D74+IF(E11="WOOD",1,0)*E73+IF(E12="WOOD",1,0)*E74+IF(F11="WOOD",1,0)*F73+IF(F12="WOOD",1,0)*F74+IF(G11="WOOD",1,0)*G73+IF(G12="WOOD",1,0)*G74</f>
        <v>11465760</v>
      </c>
      <c r="E70" s="30">
        <f>IF(B11="LIGHT",1,0)*B73+IF(B12="LIGHT",1,0)*B74+IF(C11="LIGHT",1,0)*C73+IF(C12="LIGHT",1,0)*C74+IF(D11="LIGHT",1,0)*D73+IF(D12="LIGHT",1,0)*D74+IF(E11="LIGHT",1,0)*E73+IF(E12="LIGHT",1,0)*E74+IF(F11="LIGHT",1,0)*F73+IF(F12="LIGHT",1,0)*F74+IF(G11="LIGHT",1,0)*G73+IF(G12="LIGHT",1,0)*G74</f>
        <v>0</v>
      </c>
      <c r="F70" s="31">
        <f>IF(B11="DARK",1,0)*B73+IF(B12="DARK",1,0)*B74+IF(C11="DARK",1,0)*C73+IF(C12="DARK",1,0)*C74+IF(D11="DARK",1,0)*D73+IF(D12="DARK",1,0)*D74+IF(E11="DARK",1,0)*E73+IF(E12="DARK",1,0)*E74+IF(F11="DARK",1,0)*F73+IF(F12="DARK",1,0)*F74+IF(G11="DARK",1,0)*G73+IF(G12="DARK",1,0)*G74</f>
        <v>160512</v>
      </c>
      <c r="G70" s="40">
        <f>ROUND(B41*((SUM(B63:G67)-1)*0.25+1)*(((LEFT(A63,LEN(A63)-10)-3)*0.25+1)*G63+((LEFT(A64,LEN(A64)-10)-3)*0.25+1)*G64+((LEFT(A65,LEN(A65)-10)-3)*0.25+1)*G65+((LEFT(A66,LEN(A66)-10)-3)*0.25+1)*G66+((LEFT(A67,LEN(A67)-10)-3)*0.25+1)*G67),0)</f>
        <v>6549</v>
      </c>
    </row>
    <row r="71" spans="1:7" x14ac:dyDescent="0.25">
      <c r="A71" s="4"/>
    </row>
    <row r="72" spans="1:7" ht="30" customHeight="1" x14ac:dyDescent="0.25">
      <c r="A72" s="116" t="s">
        <v>49</v>
      </c>
      <c r="B72" s="46" t="str">
        <f t="shared" ref="B72:G72" si="0">B3</f>
        <v>俊才の臥龍神・諸葛亮</v>
      </c>
      <c r="C72" s="46" t="str">
        <f t="shared" si="0"/>
        <v>Gusting Prodigy, Sasuke</v>
      </c>
      <c r="D72" s="46" t="str">
        <f t="shared" si="0"/>
        <v>Marine Rider, Bard Robin</v>
      </c>
      <c r="E72" s="46" t="str">
        <f t="shared" si="0"/>
        <v>Marine Rider, Bard Robin</v>
      </c>
      <c r="F72" s="46" t="str">
        <f t="shared" si="0"/>
        <v>Moral Commanding Deity, Liu Bei</v>
      </c>
      <c r="G72" s="46" t="str">
        <f t="shared" si="0"/>
        <v>俊才の臥龍神・諸葛亮</v>
      </c>
    </row>
    <row r="73" spans="1:7" x14ac:dyDescent="0.25">
      <c r="A73" s="2" t="s">
        <v>51</v>
      </c>
      <c r="B73" s="41">
        <f>ROUND(ROUND(IF(B11="FIRE",1,0)*(B33),0)*((SUM(B63:G67)-1)*0.25+1)*IF(OR(D52=B11,D52=B12,D52=B13,D52=B14,D52="ALL"),IF(ISBLANK(B52),1,B52),1)*IF(OR(D53=B11,D53=B12,D53=B13,D53=B14,D53="ALL"),IF(ISBLANK(B53),1,B53),1)*(B60*B49*0.1+1)*IF(OR(D55=B13,D55=B14,D55="ALL",D55="FIRE"),IF(ISBLANK(B55),1,B55),1)*(((LEFT(A63,LEN(A63)-10)-3)*0.25+1)*B63*IF(B46="NONE",1,IF(B46="ALL",(1+LEFT(A63,LEN(A63)-10)*0.06),(1+LEFT(A63,LEN(A63)-10)*0.06*B46)))*IF(LEFT(A63,LEN(A63)-10)="4", 1.5^B25, 1)+((LEFT(A64,LEN(A64)-10)-3)*0.25+1)*B64*IF(B46="NONE",1,IF(B46="ALL",(1+LEFT(A64,LEN(A64)-10)*0.06),(1+LEFT(A64,LEN(A64)-10)*0.06*B46)))*IF(LEFT(A64,LEN(A64)-10)="4", 1.5^B25, 1)+((LEFT(A65,LEN(A65)-10)-3)*0.25+1)*B65*IF(B46="NONE",1,IF(B46="ALL",(1+LEFT(A65,LEN(A65)-10)*0.06),(1+LEFT(A65,LEN(A65)-10)*0.06*B46)))*IF(LEFT(A65,LEN(A65)-10)="4", 1.5^B25, 1)+((LEFT(A66,LEN(A66)-10)-3)*0.25+1)*B66*IF(B46="NONE",1,IF(B46="ALL",(1+LEFT(A66,LEN(A66)-10)*0.06),(1+LEFT(A66,LEN(A66)-10)*0.06*B46)))*IF(LEFT(A66,LEN(A66)-10)="4", 1.5^B25, 1)+((LEFT(A67,LEN(A67)-10)-3)*0.25+1)*B67*IF(B46="NONE",1,IF(B46="ALL",(1+LEFT(A67,LEN(A67)-10)*0.06),(1+LEFT(A67,LEN(A67)-10)*0.06*B46)))*IF(LEFT(A67,LEN(A67)-10)="4", 1.5^B25, 1)),0)+ROUND(ROUND(IF(B11="WATER",1,0)*(B33),0)*((SUM(B63:G67)-1)*0.25+1)*IF(OR(D52=B11,D52=B12,D52=B13,D52=B14,D52="ALL"),IF(ISBLANK(B52),1,B52),1)*IF(OR(D53=B11,D53=B12,D53=B13,D53=B14,D53="ALL"),IF(ISBLANK(B53),1,B53),1)*(C60*C49*0.1+1)*IF(OR(D55=B13,D55=B14,D55="ALL",D55="WATER"),IF(ISBLANK(B55),1,B55),1)*(((LEFT(A63,LEN(A63)-10)-3)*0.25+1)*C63*IF(C46="NONE",1,IF(C46="ALL",(1+LEFT(A63,LEN(A63)-10)*0.06),(1+LEFT(A63,LEN(A63)-10)*0.06*C46)))*IF(LEFT(A63,LEN(A63)-10)="4", 1.5^B25, 1)+((LEFT(A64,LEN(A64)-10)-3)*0.25+1)*C64*IF(C46="NONE",1,IF(C46="ALL",(1+LEFT(A64,LEN(A64)-10)*0.06),(1+LEFT(A64,LEN(A64)-10)*0.06*C46)))*IF(LEFT(A64,LEN(A64)-10)="4", 1.5^B25, 1)+((LEFT(A65,LEN(A65)-10)-3)*0.25+1)*C65*IF(C46="NONE",1,IF(C46="ALL",(1+LEFT(A65,LEN(A65)-10)*0.06),(1+LEFT(A65,LEN(A65)-10)*0.06*C46)))*IF(LEFT(A65,LEN(A65)-10)="4", 1.5^B25, 1)+((LEFT(A66,LEN(A66)-10)-3)*0.25+1)*C66*IF(C46="NONE",1,IF(C46="ALL",(1+LEFT(A66,LEN(A66)-10)*0.06),(1+LEFT(A66,LEN(A66)-10)*0.06*C46)))*IF(LEFT(A66,LEN(A66)-10)="4", 1.5^B25, 1)+((LEFT(A67,LEN(A67)-10)-3)*0.25+1)*C67*IF(C46="NONE",1,IF(C46="ALL",(1+LEFT(A67,LEN(A67)-10)*0.06),(1+LEFT(A67,LEN(A67)-10)*0.06*C46)))*IF(LEFT(A67,LEN(A67)-10)="4", 1.5^B25, 1)),0)+ROUND(ROUND(IF(B11="WOOD",1,0)*(B33),0)*((SUM(B63:G67)-1)*0.25+1)*IF(OR(D52=B11,D52=B12,D52=B13,D52=B14,D52="ALL"),IF(ISBLANK(B52),1,B52),1)*IF(OR(D53=B11,D53=B12,D53=B13,D53=B14,D53="ALL"),IF(ISBLANK(B53),1,B53),1)*(D60*D49*0.1+1)*IF(OR(D55=B13,D55=B14,D55="ALL",D55="WOOD"),IF(ISBLANK(B55),1,B55),1)*(((LEFT(A63,LEN(A63)-10)-3)*0.25+1)*D63*IF(D46="NONE",1,IF(D46="ALL",(1+LEFT(A63,LEN(A63)-10)*0.06),(1+LEFT(A63,LEN(A63)-10)*0.06*D46)))*IF(LEFT(A63,LEN(A63)-10)="4", 1.5^B25, 1)+((LEFT(A64,LEN(A64)-10)-3)*0.25+1)*D64*IF(D46="NONE",1,IF(D46="ALL",(1+LEFT(A64,LEN(A64)-10)*0.06),(1+LEFT(A64,LEN(A64)-10)*0.06*D46)))*IF(LEFT(A64,LEN(A64)-10)="4", 1.5^B25, 1)+((LEFT(A65,LEN(A65)-10)-3)*0.25+1)*D65*IF(D46="NONE",1,IF(D46="ALL",(1+LEFT(A65,LEN(A65)-10)*0.06),(1+LEFT(A65,LEN(A65)-10)*0.06*D46)))*IF(LEFT(A65,LEN(A65)-10)="4", 1.5^B25, 1)+((LEFT(A66,LEN(A66)-10)-3)*0.25+1)*D66*IF(D46="NONE",1,IF(D46="ALL",(1+LEFT(A66,LEN(A66)-10)*0.06),(1+LEFT(A66,LEN(A66)-10)*0.06*D46)))*IF(LEFT(A66,LEN(A66)-10)="4", 1.5^B25, 1)+((LEFT(A67,LEN(A67)-10)-3)*0.25+1)*D67*IF(D46="NONE",1,IF(D46="ALL",(1+LEFT(A67,LEN(A67)-10)*0.06),(1+LEFT(A67,LEN(A67)-10)*0.06*D46)))*IF(LEFT(A67,LEN(A67)-10)="4", 1.5^B25, 1)),0)+ROUND(ROUND(IF(B11="LIGHT",1,0)*(B33),0)*((SUM(B63:G67)-1)*0.25+1)*IF(OR(D52=B11,D52=B12,D52=B13,D52=B14,D52="ALL"),IF(ISBLANK(B52),1,B52),1)*IF(OR(D53=B11,D53=B12,D53=B13,D53=B14,D53="ALL"),IF(ISBLANK(B53),1,B53),1)*(E60*E49*0.1+1)*IF(OR(D55=B13,D55=B14,D55="ALL",D55="LIGHT"),IF(ISBLANK(B55),1,B55),1)*(((LEFT(A63,LEN(A63)-10)-3)*0.25+1)*E63*IF(E46="NONE",1,IF(E46="ALL",(1+LEFT(A63,LEN(A63)-10)*0.06),(1+LEFT(A63,LEN(A63)-10)*0.06*E46)))*IF(LEFT(A63,LEN(A63)-10)="4", 1.5^B25, 1)+((LEFT(A64,LEN(A64)-10)-3)*0.25+1)*E64*IF(E46="NONE",1,IF(E46="ALL",(1+LEFT(A64,LEN(A64)-10)*0.06),(1+LEFT(A64,LEN(A64)-10)*0.06*E46)))*IF(LEFT(A64,LEN(A64)-10)="4", 1.5^B25, 1)+((LEFT(A65,LEN(A65)-10)-3)*0.25+1)*E65*IF(E46="NONE",1,IF(E46="ALL",(1+LEFT(A65,LEN(A65)-10)*0.06),(1+LEFT(A65,LEN(A65)-10)*0.06*E46)))*IF(LEFT(A65,LEN(A65)-10)="4", 1.5^B25, 1)+((LEFT(A66,LEN(A66)-10)-3)*0.25+1)*E66*IF(E46="NONE",1,IF(E46="ALL",(1+LEFT(A66,LEN(A66)-10)*0.06),(1+LEFT(A66,LEN(A66)-10)*0.06*E46)))*IF(LEFT(A66,LEN(A66)-10)="4", 1.5^B25, 1)+((LEFT(A67,LEN(A67)-10)-3)*0.25+1)*E67*IF(E46="NONE",1,IF(E46="ALL",(1+LEFT(A67,LEN(A67)-10)*0.06),(1+LEFT(A67,LEN(A67)-10)*0.06*E46)))*IF(LEFT(A67,LEN(A67)-10)="4", 1.5^B25, 1)),0)+ROUND(ROUND(IF(B11="DARK",1,0)*(B33),0)*((SUM(B63:G67)-1)*0.25+1)*IF(OR(D52=B11,D52=B12,D52=B13,D52=B14,D52="ALL"),IF(ISBLANK(B52),1,B52),1)*IF(OR(D53=B11,D53=B12,D53=B13,D53=B14,D53="ALL"),IF(ISBLANK(B53),1,B53),1)*(F60*F49*0.1+1)*IF(OR(D55=B13,D55=B14,D55="ALL",D55="DARK"),IF(ISBLANK(B55),1,B55),1)*(((LEFT(A63,LEN(A63)-10)-3)*0.25+1)*F63*IF(F46="NONE",1,IF(F46="ALL",(1+LEFT(A63,LEN(A63)-10)*0.06),(1+LEFT(A63,LEN(A63)-10)*0.06*F46)))*IF(LEFT(A63,LEN(A63)-10)="4", 1.5^B25, 1)+((LEFT(A64,LEN(A64)-10)-3)*0.25+1)*F64*IF(F46="NONE",1,IF(F46="ALL",(1+LEFT(A64,LEN(A64)-10)*0.06),(1+LEFT(A64,LEN(A64)-10)*0.06*F46)))*IF(LEFT(A64,LEN(A64)-10)="4", 1.5^B25, 1)+((LEFT(A65,LEN(A65)-10)-3)*0.25+1)*F65*IF(F46="NONE",1,IF(F46="ALL",(1+LEFT(A65,LEN(A65)-10)*0.06),(1+LEFT(A65,LEN(A65)-10)*0.06*F46)))*IF(LEFT(A65,LEN(A65)-10)="4", 1.5^B25, 1)+((LEFT(A66,LEN(A66)-10)-3)*0.25+1)*F66*IF(F46="NONE",1,IF(F46="ALL",(1+LEFT(A66,LEN(A66)-10)*0.06),(1+LEFT(A66,LEN(A66)-10)*0.06*F46)))*IF(LEFT(A66,LEN(A66)-10)="4", 1.5^B25, 1)+((LEFT(A67,LEN(A67)-10)-3)*0.25+1)*F67*IF(F46="NONE",1,IF(F46="ALL",(1+LEFT(A67,LEN(A67)-10)*0.06),(1+LEFT(A67,LEN(A67)-10)*0.06*F46)))*IF(LEFT(A67,LEN(A67)-10)="4", 1.5^B25, 1)),0)</f>
        <v>2709720</v>
      </c>
      <c r="C73" s="41">
        <f>ROUND(ROUND(IF(C11="FIRE",1,0)*(C33),0)*((SUM(B63:G67)-1)*0.25+1)*IF(OR(D52=C11,D52=C12,D52=C13,D52=C14,D52="ALL"),IF(ISBLANK(B52),1,B52),1)*IF(OR(D53=C11,D53=C12,D53=C13,D53=C14,D53="ALL"),IF(ISBLANK(B53),1,B53),1)*(B60*B49*0.1+1)*IF(OR(D55=C13,D55=C14,D55="ALL",D55="FIRE"),IF(ISBLANK(B55),1,B55),1)*(((LEFT(A63,LEN(A63)-10)-3)*0.25+1)*B63*IF(B46="NONE",1,IF(B46="ALL",(1+LEFT(A63,LEN(A63)-10)*0.06),(1+LEFT(A63,LEN(A63)-10)*0.06*B46)))*IF(LEFT(A63,LEN(A63)-10)="4", 1.5^C25, 1)+((LEFT(A64,LEN(A64)-10)-3)*0.25+1)*B64*IF(B46="NONE",1,IF(B46="ALL",(1+LEFT(A64,LEN(A64)-10)*0.06),(1+LEFT(A64,LEN(A64)-10)*0.06*B46)))*IF(LEFT(A64,LEN(A64)-10)="4", 1.5^C25, 1)+((LEFT(A65,LEN(A65)-10)-3)*0.25+1)*B65*IF(B46="NONE",1,IF(B46="ALL",(1+LEFT(A65,LEN(A65)-10)*0.06),(1+LEFT(A65,LEN(A65)-10)*0.06*B46)))*IF(LEFT(A65,LEN(A65)-10)="4", 1.5^C25, 1)+((LEFT(A66,LEN(A66)-10)-3)*0.25+1)*B66*IF(B46="NONE",1,IF(B46="ALL",(1+LEFT(A66,LEN(A66)-10)*0.06),(1+LEFT(A66,LEN(A66)-10)*0.06*B46)))*IF(LEFT(A66,LEN(A66)-10)="4", 1.5^C25, 1)+((LEFT(A67,LEN(A67)-10)-3)*0.25+1)*B67*IF(B46="NONE",1,IF(B46="ALL",(1+LEFT(A67,LEN(A67)-10)*0.06),(1+LEFT(A67,LEN(A67)-10)*0.06*B46)))*IF(LEFT(A67,LEN(A67)-10)="4", 1.5^C25, 1)),0)+ROUND(ROUND(IF(C11="WATER",1,0)*(C33),0)*((SUM(B63:G67)-1)*0.25+1)*IF(OR(D52=C11,D52=C12,D52=C13,D52=C14,D52="ALL"),IF(ISBLANK(B52),1,B52),1)*IF(OR(D53=C11,D53=C12,D53=C13,D53=C14,D53="ALL"),IF(ISBLANK(B53),1,B53),1)*(C60*C49*0.1+1)*IF(OR(D55=C13,D55=C14,D55="ALL",D55="WATER"),IF(ISBLANK(B55),1,B55),1)*(((LEFT(A63,LEN(A63)-10)-3)*0.25+1)*C63*IF(C46="NONE",1,IF(C46="ALL",(1+LEFT(A63,LEN(A63)-10)*0.06),(1+LEFT(A63,LEN(A63)-10)*0.06*C46)))*IF(LEFT(A63,LEN(A63)-10)="4", 1.5^C25, 1)+((LEFT(A64,LEN(A64)-10)-3)*0.25+1)*C64*IF(C46="NONE",1,IF(C46="ALL",(1+LEFT(A64,LEN(A64)-10)*0.06),(1+LEFT(A64,LEN(A64)-10)*0.06*C46)))*IF(LEFT(A64,LEN(A64)-10)="4", 1.5^C25, 1)+((LEFT(A65,LEN(A65)-10)-3)*0.25+1)*C65*IF(C46="NONE",1,IF(C46="ALL",(1+LEFT(A65,LEN(A65)-10)*0.06),(1+LEFT(A65,LEN(A65)-10)*0.06*C46)))*IF(LEFT(A65,LEN(A65)-10)="4", 1.5^C25, 1)+((LEFT(A66,LEN(A66)-10)-3)*0.25+1)*C66*IF(C46="NONE",1,IF(C46="ALL",(1+LEFT(A66,LEN(A66)-10)*0.06),(1+LEFT(A66,LEN(A66)-10)*0.06*C46)))*IF(LEFT(A66,LEN(A66)-10)="4", 1.5^C25, 1)+((LEFT(A67,LEN(A67)-10)-3)*0.25+1)*C67*IF(C46="NONE",1,IF(C46="ALL",(1+LEFT(A67,LEN(A67)-10)*0.06),(1+LEFT(A67,LEN(A67)-10)*0.06*C46)))*IF(LEFT(A67,LEN(A67)-10)="4", 1.5^C25, 1)),0)+ROUND(ROUND(IF(C11="WOOD",1,0)*(C33),0)*((SUM(B63:G67)-1)*0.25+1)*IF(OR(D52=C11,D52=C12,D52=C13,D52=C14,D52="ALL"),IF(ISBLANK(B52),1,B52),1)*IF(OR(D53=C11,D53=C12,D53=C13,D53=C14,D53="ALL"),IF(ISBLANK(B53),1,B53),1)*(D60*D49*0.1+1)*IF(OR(D55=C13,D55=C14,D55="ALL",D55="WOOD"),IF(ISBLANK(B55),1,B55),1)*(((LEFT(A63,LEN(A63)-10)-3)*0.25+1)*D63*IF(D46="NONE",1,IF(D46="ALL",(1+LEFT(A63,LEN(A63)-10)*0.06),(1+LEFT(A63,LEN(A63)-10)*0.06*D46)))*IF(LEFT(A63,LEN(A63)-10)="4", 1.5^C25, 1)+((LEFT(A64,LEN(A64)-10)-3)*0.25+1)*D64*IF(D46="NONE",1,IF(D46="ALL",(1+LEFT(A64,LEN(A64)-10)*0.06),(1+LEFT(A64,LEN(A64)-10)*0.06*D46)))*IF(LEFT(A64,LEN(A64)-10)="4", 1.5^C25, 1)+((LEFT(A65,LEN(A65)-10)-3)*0.25+1)*D65*IF(D46="NONE",1,IF(D46="ALL",(1+LEFT(A65,LEN(A65)-10)*0.06),(1+LEFT(A65,LEN(A65)-10)*0.06*D46)))*IF(LEFT(A65,LEN(A65)-10)="4", 1.5^C25, 1)+((LEFT(A66,LEN(A66)-10)-3)*0.25+1)*D66*IF(D46="NONE",1,IF(D46="ALL",(1+LEFT(A66,LEN(A66)-10)*0.06),(1+LEFT(A66,LEN(A66)-10)*0.06*D46)))*IF(LEFT(A66,LEN(A66)-10)="4", 1.5^C25, 1)+((LEFT(A67,LEN(A67)-10)-3)*0.25+1)*D67*IF(D46="NONE",1,IF(D46="ALL",(1+LEFT(A67,LEN(A67)-10)*0.06),(1+LEFT(A67,LEN(A67)-10)*0.06*D46)))*IF(LEFT(A67,LEN(A67)-10)="4", 1.5^C25, 1)),0)+ROUND(ROUND(IF(C11="LIGHT",1,0)*(C33),0)*((SUM(B63:G67)-1)*0.25+1)*IF(OR(D52=C11,D52=C12,D52=C13,D52=C14,D52="ALL"),IF(ISBLANK(B52),1,B52),1)*IF(OR(D53=C11,D53=C12,D53=C13,D53=C14,D53="ALL"),IF(ISBLANK(B53),1,B53),1)*(E60*E49*0.1+1)*IF(OR(D55=C13,D55=C14,D55="ALL",D55="LIGHT"),IF(ISBLANK(B55),1,B55),1)*(((LEFT(A63,LEN(A63)-10)-3)*0.25+1)*E63*IF(E46="NONE",1,IF(E46="ALL",(1+LEFT(A63,LEN(A63)-10)*0.06),(1+LEFT(A63,LEN(A63)-10)*0.06*E46)))*IF(LEFT(A63,LEN(A63)-10)="4", 1.5^C25, 1)+((LEFT(A64,LEN(A64)-10)-3)*0.25+1)*E64*IF(E46="NONE",1,IF(E46="ALL",(1+LEFT(A64,LEN(A64)-10)*0.06),(1+LEFT(A64,LEN(A64)-10)*0.06*E46)))*IF(LEFT(A64,LEN(A64)-10)="4", 1.5^C25, 1)+((LEFT(A65,LEN(A65)-10)-3)*0.25+1)*E65*IF(E46="NONE",1,IF(E46="ALL",(1+LEFT(A65,LEN(A65)-10)*0.06),(1+LEFT(A65,LEN(A65)-10)*0.06*E46)))*IF(LEFT(A65,LEN(A65)-10)="4", 1.5^C25, 1)+((LEFT(A66,LEN(A66)-10)-3)*0.25+1)*E66*IF(E46="NONE",1,IF(E46="ALL",(1+LEFT(A66,LEN(A66)-10)*0.06),(1+LEFT(A66,LEN(A66)-10)*0.06*E46)))*IF(LEFT(A66,LEN(A66)-10)="4", 1.5^C25, 1)+((LEFT(A67,LEN(A67)-10)-3)*0.25+1)*E67*IF(E46="NONE",1,IF(E46="ALL",(1+LEFT(A67,LEN(A67)-10)*0.06),(1+LEFT(A67,LEN(A67)-10)*0.06*E46)))*IF(LEFT(A67,LEN(A67)-10)="4", 1.5^C25, 1)),0)+ROUND(ROUND(IF(C11="DARK",1,0)*(C33),0)*((SUM(B63:G67)-1)*0.25+1)*IF(OR(D52=C11,D52=C12,D52=C13,D52=C14,D52="ALL"),IF(ISBLANK(B52),1,B52),1)*IF(OR(D53=C11,D53=C12,D53=C13,D53=C14,D53="ALL"),IF(ISBLANK(B53),1,B53),1)*(F60*F49*0.1+1)*IF(OR(D55=C13,D55=C14,D55="ALL",D55="DARK"),IF(ISBLANK(B55),1,B55),1)*(((LEFT(A63,LEN(A63)-10)-3)*0.25+1)*F63*IF(F46="NONE",1,IF(F46="ALL",(1+LEFT(A63,LEN(A63)-10)*0.06),(1+LEFT(A63,LEN(A63)-10)*0.06*F46)))*IF(LEFT(A63,LEN(A63)-10)="4", 1.5^C25, 1)+((LEFT(A64,LEN(A64)-10)-3)*0.25+1)*F64*IF(F46="NONE",1,IF(F46="ALL",(1+LEFT(A64,LEN(A64)-10)*0.06),(1+LEFT(A64,LEN(A64)-10)*0.06*F46)))*IF(LEFT(A64,LEN(A64)-10)="4", 1.5^C25, 1)+((LEFT(A65,LEN(A65)-10)-3)*0.25+1)*F65*IF(F46="NONE",1,IF(F46="ALL",(1+LEFT(A65,LEN(A65)-10)*0.06),(1+LEFT(A65,LEN(A65)-10)*0.06*F46)))*IF(LEFT(A65,LEN(A65)-10)="4", 1.5^C25, 1)+((LEFT(A66,LEN(A66)-10)-3)*0.25+1)*F66*IF(F46="NONE",1,IF(F46="ALL",(1+LEFT(A66,LEN(A66)-10)*0.06),(1+LEFT(A66,LEN(A66)-10)*0.06*F46)))*IF(LEFT(A66,LEN(A66)-10)="4", 1.5^C25, 1)+((LEFT(A67,LEN(A67)-10)-3)*0.25+1)*F67*IF(F46="NONE",1,IF(F46="ALL",(1+LEFT(A67,LEN(A67)-10)*0.06),(1+LEFT(A67,LEN(A67)-10)*0.06*F46)))*IF(LEFT(A67,LEN(A67)-10)="4", 1.5^C25, 1)),0)</f>
        <v>1357920</v>
      </c>
      <c r="D73" s="41">
        <f>ROUND(ROUND(IF(D11="FIRE",1,0)*(D33),0)*((SUM(B63:G67)-1)*0.25+1)*IF(OR(D52=D11,D52=D12,D52=D13,D52=D14,D52="ALL"),IF(ISBLANK(B52),1,B52),1)*IF(OR(D53=D11,D53=D12,D53=D13,D53=D14,D53="ALL"),IF(ISBLANK(B53),1,B53),1)*(B60*B49*0.1+1)*IF(OR(D55=D13,D55=D14,D55="ALL",D55="FIRE"),IF(ISBLANK(B55),1,B55),1)*(((LEFT(A63,LEN(A63)-10)-3)*0.25+1)*B63*IF(B46="NONE",1,IF(B46="ALL",(1+LEFT(A63,LEN(A63)-10)*0.06),(1+LEFT(A63,LEN(A63)-10)*0.06*B46)))*IF(LEFT(A63,LEN(A63)-10)="4", 1.5^D25, 1)+((LEFT(A64,LEN(A64)-10)-3)*0.25+1)*B64*IF(B46="NONE",1,IF(B46="ALL",(1+LEFT(A64,LEN(A64)-10)*0.06),(1+LEFT(A64,LEN(A64)-10)*0.06*B46)))*IF(LEFT(A64,LEN(A64)-10)="4", 1.5^D25, 1)+((LEFT(A65,LEN(A65)-10)-3)*0.25+1)*B65*IF(B46="NONE",1,IF(B46="ALL",(1+LEFT(A65,LEN(A65)-10)*0.06),(1+LEFT(A65,LEN(A65)-10)*0.06*B46)))*IF(LEFT(A65,LEN(A65)-10)="4", 1.5^D25, 1)+((LEFT(A66,LEN(A66)-10)-3)*0.25+1)*B66*IF(B46="NONE",1,IF(B46="ALL",(1+LEFT(A66,LEN(A66)-10)*0.06),(1+LEFT(A66,LEN(A66)-10)*0.06*B46)))*IF(LEFT(A66,LEN(A66)-10)="4", 1.5^D25, 1)+((LEFT(A67,LEN(A67)-10)-3)*0.25+1)*B67*IF(B46="NONE",1,IF(B46="ALL",(1+LEFT(A67,LEN(A67)-10)*0.06),(1+LEFT(A67,LEN(A67)-10)*0.06*B46)))*IF(LEFT(A67,LEN(A67)-10)="4", 1.5^D25, 1)),0)+ROUND(ROUND(IF(D11="WATER",1,0)*(D33),0)*((SUM(B63:G67)-1)*0.25+1)*IF(OR(D52=D11,D52=D12,D52=D13,D52=D14,D52="ALL"),IF(ISBLANK(B52),1,B52),1)*IF(OR(D53=D11,D53=D12,D53=D13,D53=D14,D53="ALL"),IF(ISBLANK(B53),1,B53),1)*(C60*C49*0.1+1)*IF(OR(D55=D13,D55=D14,D55="ALL",D55="WATER"),IF(ISBLANK(B55),1,B55),1)*(((LEFT(A63,LEN(A63)-10)-3)*0.25+1)*C63*IF(C46="NONE",1,IF(C46="ALL",(1+LEFT(A63,LEN(A63)-10)*0.06),(1+LEFT(A63,LEN(A63)-10)*0.06*C46)))*IF(LEFT(A63,LEN(A63)-10)="4", 1.5^D25, 1)+((LEFT(A64,LEN(A64)-10)-3)*0.25+1)*C64*IF(C46="NONE",1,IF(C46="ALL",(1+LEFT(A64,LEN(A64)-10)*0.06),(1+LEFT(A64,LEN(A64)-10)*0.06*C46)))*IF(LEFT(A64,LEN(A64)-10)="4", 1.5^D25, 1)+((LEFT(A65,LEN(A65)-10)-3)*0.25+1)*C65*IF(C46="NONE",1,IF(C46="ALL",(1+LEFT(A65,LEN(A65)-10)*0.06),(1+LEFT(A65,LEN(A65)-10)*0.06*C46)))*IF(LEFT(A65,LEN(A65)-10)="4", 1.5^D25, 1)+((LEFT(A66,LEN(A66)-10)-3)*0.25+1)*C66*IF(C46="NONE",1,IF(C46="ALL",(1+LEFT(A66,LEN(A66)-10)*0.06),(1+LEFT(A66,LEN(A66)-10)*0.06*C46)))*IF(LEFT(A66,LEN(A66)-10)="4", 1.5^D25, 1)+((LEFT(A67,LEN(A67)-10)-3)*0.25+1)*C67*IF(C46="NONE",1,IF(C46="ALL",(1+LEFT(A67,LEN(A67)-10)*0.06),(1+LEFT(A67,LEN(A67)-10)*0.06*C46)))*IF(LEFT(A67,LEN(A67)-10)="4", 1.5^D25, 1)),0)+ROUND(ROUND(IF(D11="WOOD",1,0)*(D33),0)*((SUM(B63:G67)-1)*0.25+1)*IF(OR(D52=D11,D52=D12,D52=D13,D52=D14,D52="ALL"),IF(ISBLANK(B52),1,B52),1)*IF(OR(D53=D11,D53=D12,D53=D13,D53=D14,D53="ALL"),IF(ISBLANK(B53),1,B53),1)*(D60*D49*0.1+1)*IF(OR(D55=D13,D55=D14,D55="ALL",D55="WOOD"),IF(ISBLANK(B55),1,B55),1)*(((LEFT(A63,LEN(A63)-10)-3)*0.25+1)*D63*IF(D46="NONE",1,IF(D46="ALL",(1+LEFT(A63,LEN(A63)-10)*0.06),(1+LEFT(A63,LEN(A63)-10)*0.06*D46)))*IF(LEFT(A63,LEN(A63)-10)="4", 1.5^D25, 1)+((LEFT(A64,LEN(A64)-10)-3)*0.25+1)*D64*IF(D46="NONE",1,IF(D46="ALL",(1+LEFT(A64,LEN(A64)-10)*0.06),(1+LEFT(A64,LEN(A64)-10)*0.06*D46)))*IF(LEFT(A64,LEN(A64)-10)="4", 1.5^D25, 1)+((LEFT(A65,LEN(A65)-10)-3)*0.25+1)*D65*IF(D46="NONE",1,IF(D46="ALL",(1+LEFT(A65,LEN(A65)-10)*0.06),(1+LEFT(A65,LEN(A65)-10)*0.06*D46)))*IF(LEFT(A65,LEN(A65)-10)="4", 1.5^D25, 1)+((LEFT(A66,LEN(A66)-10)-3)*0.25+1)*D66*IF(D46="NONE",1,IF(D46="ALL",(1+LEFT(A66,LEN(A66)-10)*0.06),(1+LEFT(A66,LEN(A66)-10)*0.06*D46)))*IF(LEFT(A66,LEN(A66)-10)="4", 1.5^D25, 1)+((LEFT(A67,LEN(A67)-10)-3)*0.25+1)*D67*IF(D46="NONE",1,IF(D46="ALL",(1+LEFT(A67,LEN(A67)-10)*0.06),(1+LEFT(A67,LEN(A67)-10)*0.06*D46)))*IF(LEFT(A67,LEN(A67)-10)="4", 1.5^D25, 1)),0)+ROUND(ROUND(IF(D11="LIGHT",1,0)*(D33),0)*((SUM(B63:G67)-1)*0.25+1)*IF(OR(D52=D11,D52=D12,D52=D13,D52=D14,D52="ALL"),IF(ISBLANK(B52),1,B52),1)*IF(OR(D53=D11,D53=D12,D53=D13,D53=D14,D53="ALL"),IF(ISBLANK(B53),1,B53),1)*(E60*E49*0.1+1)*IF(OR(D55=D13,D55=D14,D55="ALL",D55="LIGHT"),IF(ISBLANK(B55),1,B55),1)*(((LEFT(A63,LEN(A63)-10)-3)*0.25+1)*E63*IF(E46="NONE",1,IF(E46="ALL",(1+LEFT(A63,LEN(A63)-10)*0.06),(1+LEFT(A63,LEN(A63)-10)*0.06*E46)))*IF(LEFT(A63,LEN(A63)-10)="4", 1.5^D25, 1)+((LEFT(A64,LEN(A64)-10)-3)*0.25+1)*E64*IF(E46="NONE",1,IF(E46="ALL",(1+LEFT(A64,LEN(A64)-10)*0.06),(1+LEFT(A64,LEN(A64)-10)*0.06*E46)))*IF(LEFT(A64,LEN(A64)-10)="4", 1.5^D25, 1)+((LEFT(A65,LEN(A65)-10)-3)*0.25+1)*E65*IF(E46="NONE",1,IF(E46="ALL",(1+LEFT(A65,LEN(A65)-10)*0.06),(1+LEFT(A65,LEN(A65)-10)*0.06*E46)))*IF(LEFT(A65,LEN(A65)-10)="4", 1.5^D25, 1)+((LEFT(A66,LEN(A66)-10)-3)*0.25+1)*E66*IF(E46="NONE",1,IF(E46="ALL",(1+LEFT(A66,LEN(A66)-10)*0.06),(1+LEFT(A66,LEN(A66)-10)*0.06*E46)))*IF(LEFT(A66,LEN(A66)-10)="4", 1.5^D25, 1)+((LEFT(A67,LEN(A67)-10)-3)*0.25+1)*E67*IF(E46="NONE",1,IF(E46="ALL",(1+LEFT(A67,LEN(A67)-10)*0.06),(1+LEFT(A67,LEN(A67)-10)*0.06*E46)))*IF(LEFT(A67,LEN(A67)-10)="4", 1.5^D25, 1)),0)+ROUND(ROUND(IF(D11="DARK",1,0)*(D33),0)*((SUM(B63:G67)-1)*0.25+1)*IF(OR(D52=D11,D52=D12,D52=D13,D52=D14,D52="ALL"),IF(ISBLANK(B52),1,B52),1)*IF(OR(D53=D11,D53=D12,D53=D13,D53=D14,D53="ALL"),IF(ISBLANK(B53),1,B53),1)*(F60*F49*0.1+1)*IF(OR(D55=D13,D55=D14,D55="ALL",D55="DARK"),IF(ISBLANK(B55),1,B55),1)*(((LEFT(A63,LEN(A63)-10)-3)*0.25+1)*F63*IF(F46="NONE",1,IF(F46="ALL",(1+LEFT(A63,LEN(A63)-10)*0.06),(1+LEFT(A63,LEN(A63)-10)*0.06*F46)))*IF(LEFT(A63,LEN(A63)-10)="4", 1.5^D25, 1)+((LEFT(A64,LEN(A64)-10)-3)*0.25+1)*F64*IF(F46="NONE",1,IF(F46="ALL",(1+LEFT(A64,LEN(A64)-10)*0.06),(1+LEFT(A64,LEN(A64)-10)*0.06*F46)))*IF(LEFT(A64,LEN(A64)-10)="4", 1.5^D25, 1)+((LEFT(A65,LEN(A65)-10)-3)*0.25+1)*F65*IF(F46="NONE",1,IF(F46="ALL",(1+LEFT(A65,LEN(A65)-10)*0.06),(1+LEFT(A65,LEN(A65)-10)*0.06*F46)))*IF(LEFT(A65,LEN(A65)-10)="4", 1.5^D25, 1)+((LEFT(A66,LEN(A66)-10)-3)*0.25+1)*F66*IF(F46="NONE",1,IF(F46="ALL",(1+LEFT(A66,LEN(A66)-10)*0.06),(1+LEFT(A66,LEN(A66)-10)*0.06*F46)))*IF(LEFT(A66,LEN(A66)-10)="4", 1.5^D25, 1)+((LEFT(A67,LEN(A67)-10)-3)*0.25+1)*F67*IF(F46="NONE",1,IF(F46="ALL",(1+LEFT(A67,LEN(A67)-10)*0.06),(1+LEFT(A67,LEN(A67)-10)*0.06*F46)))*IF(LEFT(A67,LEN(A67)-10)="4", 1.5^D25, 1)),0)</f>
        <v>1881360</v>
      </c>
      <c r="E73" s="41">
        <f>ROUND(ROUND(IF(E11="FIRE",1,0)*(E33),0)*((SUM(B63:G67)-1)*0.25+1)*IF(OR(D52=E11,D52=E12,D52=E13,D52=E14,D52="ALL"),IF(ISBLANK(B52),1,B52),1)*IF(OR(D53=E11,D53=E12,D53=E13,D53=E14,D53="ALL"),IF(ISBLANK(B53),1,B53),1)*(B60*B49*0.1+1)*IF(OR(D55=E13,D55=E14,D55="ALL",D55="FIRE"),IF(ISBLANK(B55),1,B55),1)*(((LEFT(A63,LEN(A63)-10)-3)*0.25+1)*B63*IF(B46="NONE",1,IF(B46="ALL",(1+LEFT(A63,LEN(A63)-10)*0.06),(1+LEFT(A63,LEN(A63)-10)*0.06*B46)))*IF(LEFT(A63,LEN(A63)-10)="4", 1.5^E25, 1)+((LEFT(A64,LEN(A64)-10)-3)*0.25+1)*B64*IF(B46="NONE",1,IF(B46="ALL",(1+LEFT(A64,LEN(A64)-10)*0.06),(1+LEFT(A64,LEN(A64)-10)*0.06*B46)))*IF(LEFT(A64,LEN(A64)-10)="4", 1.5^E25, 1)+((LEFT(A65,LEN(A65)-10)-3)*0.25+1)*B65*IF(B46="NONE",1,IF(B46="ALL",(1+LEFT(A65,LEN(A65)-10)*0.06),(1+LEFT(A65,LEN(A65)-10)*0.06*B46)))*IF(LEFT(A65,LEN(A65)-10)="4", 1.5^E25, 1)+((LEFT(A66,LEN(A66)-10)-3)*0.25+1)*B66*IF(B46="NONE",1,IF(B46="ALL",(1+LEFT(A66,LEN(A66)-10)*0.06),(1+LEFT(A66,LEN(A66)-10)*0.06*B46)))*IF(LEFT(A66,LEN(A66)-10)="4", 1.5^E25, 1)+((LEFT(A67,LEN(A67)-10)-3)*0.25+1)*B67*IF(B46="NONE",1,IF(B46="ALL",(1+LEFT(A67,LEN(A67)-10)*0.06),(1+LEFT(A67,LEN(A67)-10)*0.06*B46)))*IF(LEFT(A67,LEN(A67)-10)="4", 1.5^E25, 1)),0)+ROUND(ROUND(IF(E11="WATER",1,0)*(E33),0)*((SUM(B63:G67)-1)*0.25+1)*IF(OR(D52=E11,D52=E12,D52=E13,D52=E14,D52="ALL"),IF(ISBLANK(B52),1,B52),1)*IF(OR(D53=E11,D53=E12,D53=E13,D53=E14,D53="ALL"),IF(ISBLANK(B53),1,B53),1)*(C60*C49*0.1+1)*IF(OR(D55=E13,D55=E14,D55="ALL",D55="WATER"),IF(ISBLANK(B55),1,B55),1)*(((LEFT(A63,LEN(A63)-10)-3)*0.25+1)*C63*IF(C46="NONE",1,IF(C46="ALL",(1+LEFT(A63,LEN(A63)-10)*0.06),(1+LEFT(A63,LEN(A63)-10)*0.06*C46)))*IF(LEFT(A63,LEN(A63)-10)="4", 1.5^E25, 1)+((LEFT(A64,LEN(A64)-10)-3)*0.25+1)*C64*IF(C46="NONE",1,IF(C46="ALL",(1+LEFT(A64,LEN(A64)-10)*0.06),(1+LEFT(A64,LEN(A64)-10)*0.06*C46)))*IF(LEFT(A64,LEN(A64)-10)="4", 1.5^E25, 1)+((LEFT(A65,LEN(A65)-10)-3)*0.25+1)*C65*IF(C46="NONE",1,IF(C46="ALL",(1+LEFT(A65,LEN(A65)-10)*0.06),(1+LEFT(A65,LEN(A65)-10)*0.06*C46)))*IF(LEFT(A65,LEN(A65)-10)="4", 1.5^E25, 1)+((LEFT(A66,LEN(A66)-10)-3)*0.25+1)*C66*IF(C46="NONE",1,IF(C46="ALL",(1+LEFT(A66,LEN(A66)-10)*0.06),(1+LEFT(A66,LEN(A66)-10)*0.06*C46)))*IF(LEFT(A66,LEN(A66)-10)="4", 1.5^E25, 1)+((LEFT(A67,LEN(A67)-10)-3)*0.25+1)*C67*IF(C46="NONE",1,IF(C46="ALL",(1+LEFT(A67,LEN(A67)-10)*0.06),(1+LEFT(A67,LEN(A67)-10)*0.06*C46)))*IF(LEFT(A67,LEN(A67)-10)="4", 1.5^E25, 1)),0)+ROUND(ROUND(IF(E11="WOOD",1,0)*(E33),0)*((SUM(B63:G67)-1)*0.25+1)*IF(OR(D52=E11,D52=E12,D52=E13,D52=E14,D52="ALL"),IF(ISBLANK(B52),1,B52),1)*IF(OR(D53=E11,D53=E12,D53=E13,D53=E14,D53="ALL"),IF(ISBLANK(B53),1,B53),1)*(D60*D49*0.1+1)*IF(OR(D55=E13,D55=E14,D55="ALL",D55="WOOD"),IF(ISBLANK(B55),1,B55),1)*(((LEFT(A63,LEN(A63)-10)-3)*0.25+1)*D63*IF(D46="NONE",1,IF(D46="ALL",(1+LEFT(A63,LEN(A63)-10)*0.06),(1+LEFT(A63,LEN(A63)-10)*0.06*D46)))*IF(LEFT(A63,LEN(A63)-10)="4", 1.5^E25, 1)+((LEFT(A64,LEN(A64)-10)-3)*0.25+1)*D64*IF(D46="NONE",1,IF(D46="ALL",(1+LEFT(A64,LEN(A64)-10)*0.06),(1+LEFT(A64,LEN(A64)-10)*0.06*D46)))*IF(LEFT(A64,LEN(A64)-10)="4", 1.5^E25, 1)+((LEFT(A65,LEN(A65)-10)-3)*0.25+1)*D65*IF(D46="NONE",1,IF(D46="ALL",(1+LEFT(A65,LEN(A65)-10)*0.06),(1+LEFT(A65,LEN(A65)-10)*0.06*D46)))*IF(LEFT(A65,LEN(A65)-10)="4", 1.5^E25, 1)+((LEFT(A66,LEN(A66)-10)-3)*0.25+1)*D66*IF(D46="NONE",1,IF(D46="ALL",(1+LEFT(A66,LEN(A66)-10)*0.06),(1+LEFT(A66,LEN(A66)-10)*0.06*D46)))*IF(LEFT(A66,LEN(A66)-10)="4", 1.5^E25, 1)+((LEFT(A67,LEN(A67)-10)-3)*0.25+1)*D67*IF(D46="NONE",1,IF(D46="ALL",(1+LEFT(A67,LEN(A67)-10)*0.06),(1+LEFT(A67,LEN(A67)-10)*0.06*D46)))*IF(LEFT(A67,LEN(A67)-10)="4", 1.5^E25, 1)),0)+ROUND(ROUND(IF(E11="LIGHT",1,0)*(E33),0)*((SUM(B63:G67)-1)*0.25+1)*IF(OR(D52=E11,D52=E12,D52=E13,D52=E14,D52="ALL"),IF(ISBLANK(B52),1,B52),1)*IF(OR(D53=E11,D53=E12,D53=E13,D53=E14,D53="ALL"),IF(ISBLANK(B53),1,B53),1)*(E60*E49*0.1+1)*IF(OR(D55=E13,D55=E14,D55="ALL",D55="LIGHT"),IF(ISBLANK(B55),1,B55),1)*(((LEFT(A63,LEN(A63)-10)-3)*0.25+1)*E63*IF(E46="NONE",1,IF(E46="ALL",(1+LEFT(A63,LEN(A63)-10)*0.06),(1+LEFT(A63,LEN(A63)-10)*0.06*E46)))*IF(LEFT(A63,LEN(A63)-10)="4", 1.5^E25, 1)+((LEFT(A64,LEN(A64)-10)-3)*0.25+1)*E64*IF(E46="NONE",1,IF(E46="ALL",(1+LEFT(A64,LEN(A64)-10)*0.06),(1+LEFT(A64,LEN(A64)-10)*0.06*E46)))*IF(LEFT(A64,LEN(A64)-10)="4", 1.5^E25, 1)+((LEFT(A65,LEN(A65)-10)-3)*0.25+1)*E65*IF(E46="NONE",1,IF(E46="ALL",(1+LEFT(A65,LEN(A65)-10)*0.06),(1+LEFT(A65,LEN(A65)-10)*0.06*E46)))*IF(LEFT(A65,LEN(A65)-10)="4", 1.5^E25, 1)+((LEFT(A66,LEN(A66)-10)-3)*0.25+1)*E66*IF(E46="NONE",1,IF(E46="ALL",(1+LEFT(A66,LEN(A66)-10)*0.06),(1+LEFT(A66,LEN(A66)-10)*0.06*E46)))*IF(LEFT(A66,LEN(A66)-10)="4", 1.5^E25, 1)+((LEFT(A67,LEN(A67)-10)-3)*0.25+1)*E67*IF(E46="NONE",1,IF(E46="ALL",(1+LEFT(A67,LEN(A67)-10)*0.06),(1+LEFT(A67,LEN(A67)-10)*0.06*E46)))*IF(LEFT(A67,LEN(A67)-10)="4", 1.5^E25, 1)),0)+ROUND(ROUND(IF(E11="DARK",1,0)*(E33),0)*((SUM(B63:G67)-1)*0.25+1)*IF(OR(D52=E11,D52=E12,D52=E13,D52=E14,D52="ALL"),IF(ISBLANK(B52),1,B52),1)*IF(OR(D53=E11,D53=E12,D53=E13,D53=E14,D53="ALL"),IF(ISBLANK(B53),1,B53),1)*(F60*F49*0.1+1)*IF(OR(D55=E13,D55=E14,D55="ALL",D55="DARK"),IF(ISBLANK(B55),1,B55),1)*(((LEFT(A63,LEN(A63)-10)-3)*0.25+1)*F63*IF(F46="NONE",1,IF(F46="ALL",(1+LEFT(A63,LEN(A63)-10)*0.06),(1+LEFT(A63,LEN(A63)-10)*0.06*F46)))*IF(LEFT(A63,LEN(A63)-10)="4", 1.5^E25, 1)+((LEFT(A64,LEN(A64)-10)-3)*0.25+1)*F64*IF(F46="NONE",1,IF(F46="ALL",(1+LEFT(A64,LEN(A64)-10)*0.06),(1+LEFT(A64,LEN(A64)-10)*0.06*F46)))*IF(LEFT(A64,LEN(A64)-10)="4", 1.5^E25, 1)+((LEFT(A65,LEN(A65)-10)-3)*0.25+1)*F65*IF(F46="NONE",1,IF(F46="ALL",(1+LEFT(A65,LEN(A65)-10)*0.06),(1+LEFT(A65,LEN(A65)-10)*0.06*F46)))*IF(LEFT(A65,LEN(A65)-10)="4", 1.5^E25, 1)+((LEFT(A66,LEN(A66)-10)-3)*0.25+1)*F66*IF(F46="NONE",1,IF(F46="ALL",(1+LEFT(A66,LEN(A66)-10)*0.06),(1+LEFT(A66,LEN(A66)-10)*0.06*F46)))*IF(LEFT(A66,LEN(A66)-10)="4", 1.5^E25, 1)+((LEFT(A67,LEN(A67)-10)-3)*0.25+1)*F67*IF(F46="NONE",1,IF(F46="ALL",(1+LEFT(A67,LEN(A67)-10)*0.06),(1+LEFT(A67,LEN(A67)-10)*0.06*F46)))*IF(LEFT(A67,LEN(A67)-10)="4", 1.5^E25, 1)),0)</f>
        <v>1881360</v>
      </c>
      <c r="F73" s="41">
        <f>ROUND(ROUND(IF(F11="FIRE",1,0)*(F33),0)*((SUM(B63:G67)-1)*0.25+1)*IF(OR(D52=F11,D52=F12,D52=F13,D52=F14,D52="ALL"),IF(ISBLANK(B52),1,B52),1)*IF(OR(D53=F11,D53=F12,D53=F13,D53=F14,D53="ALL"),IF(ISBLANK(B53),1,B53),1)*(B60*B49*0.1+1)*IF(OR(D55=F13,D55=F14,D55="ALL",D55="FIRE"),IF(ISBLANK(B55),1,B55),1)*(((LEFT(A63,LEN(A63)-10)-3)*0.25+1)*B63*IF(B46="NONE",1,IF(B46="ALL",(1+LEFT(A63,LEN(A63)-10)*0.06),(1+LEFT(A63,LEN(A63)-10)*0.06*B46)))*IF(LEFT(A63,LEN(A63)-10)="4", 1.5^F25, 1)+((LEFT(A64,LEN(A64)-10)-3)*0.25+1)*B64*IF(B46="NONE",1,IF(B46="ALL",(1+LEFT(A64,LEN(A64)-10)*0.06),(1+LEFT(A64,LEN(A64)-10)*0.06*B46)))*IF(LEFT(A64,LEN(A64)-10)="4", 1.5^F25, 1)+((LEFT(A65,LEN(A65)-10)-3)*0.25+1)*B65*IF(B46="NONE",1,IF(B46="ALL",(1+LEFT(A65,LEN(A65)-10)*0.06),(1+LEFT(A65,LEN(A65)-10)*0.06*B46)))*IF(LEFT(A65,LEN(A65)-10)="4", 1.5^F25, 1)+((LEFT(A66,LEN(A66)-10)-3)*0.25+1)*B66*IF(B46="NONE",1,IF(B46="ALL",(1+LEFT(A66,LEN(A66)-10)*0.06),(1+LEFT(A66,LEN(A66)-10)*0.06*B46)))*IF(LEFT(A66,LEN(A66)-10)="4", 1.5^F25, 1)+((LEFT(A67,LEN(A67)-10)-3)*0.25+1)*B67*IF(B46="NONE",1,IF(B46="ALL",(1+LEFT(A67,LEN(A67)-10)*0.06),(1+LEFT(A67,LEN(A67)-10)*0.06*B46)))*IF(LEFT(A67,LEN(A67)-10)="4", 1.5^F25, 1)),0)+ROUND(ROUND(IF(F11="WATER",1,0)*(F33),0)*((SUM(B63:G67)-1)*0.25+1)*IF(OR(D52=F11,D52=F12,D52=F13,D52=F14,D52="ALL"),IF(ISBLANK(B52),1,B52),1)*IF(OR(D53=F11,D53=F12,D53=F13,D53=F14,D53="ALL"),IF(ISBLANK(B53),1,B53),1)*(C60*C49*0.1+1)*IF(OR(D55=F13,D55=F14,D55="ALL",D55="WATER"),IF(ISBLANK(B55),1,B55),1)*(((LEFT(A63,LEN(A63)-10)-3)*0.25+1)*C63*IF(C46="NONE",1,IF(C46="ALL",(1+LEFT(A63,LEN(A63)-10)*0.06),(1+LEFT(A63,LEN(A63)-10)*0.06*C46)))*IF(LEFT(A63,LEN(A63)-10)="4", 1.5^F25, 1)+((LEFT(A64,LEN(A64)-10)-3)*0.25+1)*C64*IF(C46="NONE",1,IF(C46="ALL",(1+LEFT(A64,LEN(A64)-10)*0.06),(1+LEFT(A64,LEN(A64)-10)*0.06*C46)))*IF(LEFT(A64,LEN(A64)-10)="4", 1.5^F25, 1)+((LEFT(A65,LEN(A65)-10)-3)*0.25+1)*C65*IF(C46="NONE",1,IF(C46="ALL",(1+LEFT(A65,LEN(A65)-10)*0.06),(1+LEFT(A65,LEN(A65)-10)*0.06*C46)))*IF(LEFT(A65,LEN(A65)-10)="4", 1.5^F25, 1)+((LEFT(A66,LEN(A66)-10)-3)*0.25+1)*C66*IF(C46="NONE",1,IF(C46="ALL",(1+LEFT(A66,LEN(A66)-10)*0.06),(1+LEFT(A66,LEN(A66)-10)*0.06*C46)))*IF(LEFT(A66,LEN(A66)-10)="4", 1.5^F25, 1)+((LEFT(A67,LEN(A67)-10)-3)*0.25+1)*C67*IF(C46="NONE",1,IF(C46="ALL",(1+LEFT(A67,LEN(A67)-10)*0.06),(1+LEFT(A67,LEN(A67)-10)*0.06*C46)))*IF(LEFT(A67,LEN(A67)-10)="4", 1.5^F25, 1)),0)+ROUND(ROUND(IF(F11="WOOD",1,0)*(F33),0)*((SUM(B63:G67)-1)*0.25+1)*IF(OR(D52=F11,D52=F12,D52=F13,D52=F14,D52="ALL"),IF(ISBLANK(B52),1,B52),1)*IF(OR(D53=F11,D53=F12,D53=F13,D53=F14,D53="ALL"),IF(ISBLANK(B53),1,B53),1)*(D60*D49*0.1+1)*IF(OR(D55=F13,D55=F14,D55="ALL",D55="WOOD"),IF(ISBLANK(B55),1,B55),1)*(((LEFT(A63,LEN(A63)-10)-3)*0.25+1)*D63*IF(D46="NONE",1,IF(D46="ALL",(1+LEFT(A63,LEN(A63)-10)*0.06),(1+LEFT(A63,LEN(A63)-10)*0.06*D46)))*IF(LEFT(A63,LEN(A63)-10)="4", 1.5^F25, 1)+((LEFT(A64,LEN(A64)-10)-3)*0.25+1)*D64*IF(D46="NONE",1,IF(D46="ALL",(1+LEFT(A64,LEN(A64)-10)*0.06),(1+LEFT(A64,LEN(A64)-10)*0.06*D46)))*IF(LEFT(A64,LEN(A64)-10)="4", 1.5^F25, 1)+((LEFT(A65,LEN(A65)-10)-3)*0.25+1)*D65*IF(D46="NONE",1,IF(D46="ALL",(1+LEFT(A65,LEN(A65)-10)*0.06),(1+LEFT(A65,LEN(A65)-10)*0.06*D46)))*IF(LEFT(A65,LEN(A65)-10)="4", 1.5^F25, 1)+((LEFT(A66,LEN(A66)-10)-3)*0.25+1)*D66*IF(D46="NONE",1,IF(D46="ALL",(1+LEFT(A66,LEN(A66)-10)*0.06),(1+LEFT(A66,LEN(A66)-10)*0.06*D46)))*IF(LEFT(A66,LEN(A66)-10)="4", 1.5^F25, 1)+((LEFT(A67,LEN(A67)-10)-3)*0.25+1)*D67*IF(D46="NONE",1,IF(D46="ALL",(1+LEFT(A67,LEN(A67)-10)*0.06),(1+LEFT(A67,LEN(A67)-10)*0.06*D46)))*IF(LEFT(A67,LEN(A67)-10)="4", 1.5^F25, 1)),0)+ROUND(ROUND(IF(F11="LIGHT",1,0)*(F33),0)*((SUM(B63:G67)-1)*0.25+1)*IF(OR(D52=F11,D52=F12,D52=F13,D52=F14,D52="ALL"),IF(ISBLANK(B52),1,B52),1)*IF(OR(D53=F11,D53=F12,D53=F13,D53=F14,D53="ALL"),IF(ISBLANK(B53),1,B53),1)*(E60*E49*0.1+1)*IF(OR(D55=F13,D55=F14,D55="ALL",D55="LIGHT"),IF(ISBLANK(B55),1,B55),1)*(((LEFT(A63,LEN(A63)-10)-3)*0.25+1)*E63*IF(E46="NONE",1,IF(E46="ALL",(1+LEFT(A63,LEN(A63)-10)*0.06),(1+LEFT(A63,LEN(A63)-10)*0.06*E46)))*IF(LEFT(A63,LEN(A63)-10)="4", 1.5^F25, 1)+((LEFT(A64,LEN(A64)-10)-3)*0.25+1)*E64*IF(E46="NONE",1,IF(E46="ALL",(1+LEFT(A64,LEN(A64)-10)*0.06),(1+LEFT(A64,LEN(A64)-10)*0.06*E46)))*IF(LEFT(A64,LEN(A64)-10)="4", 1.5^F25, 1)+((LEFT(A65,LEN(A65)-10)-3)*0.25+1)*E65*IF(E46="NONE",1,IF(E46="ALL",(1+LEFT(A65,LEN(A65)-10)*0.06),(1+LEFT(A65,LEN(A65)-10)*0.06*E46)))*IF(LEFT(A65,LEN(A65)-10)="4", 1.5^F25, 1)+((LEFT(A66,LEN(A66)-10)-3)*0.25+1)*E66*IF(E46="NONE",1,IF(E46="ALL",(1+LEFT(A66,LEN(A66)-10)*0.06),(1+LEFT(A66,LEN(A66)-10)*0.06*E46)))*IF(LEFT(A66,LEN(A66)-10)="4", 1.5^F25, 1)+((LEFT(A67,LEN(A67)-10)-3)*0.25+1)*E67*IF(E46="NONE",1,IF(E46="ALL",(1+LEFT(A67,LEN(A67)-10)*0.06),(1+LEFT(A67,LEN(A67)-10)*0.06*E46)))*IF(LEFT(A67,LEN(A67)-10)="4", 1.5^F25, 1)),0)+ROUND(ROUND(IF(F11="DARK",1,0)*(F33),0)*((SUM(B63:G67)-1)*0.25+1)*IF(OR(D52=F11,D52=F12,D52=F13,D52=F14,D52="ALL"),IF(ISBLANK(B52),1,B52),1)*IF(OR(D53=F11,D53=F12,D53=F13,D53=F14,D53="ALL"),IF(ISBLANK(B53),1,B53),1)*(F60*F49*0.1+1)*IF(OR(D55=F13,D55=F14,D55="ALL",D55="DARK"),IF(ISBLANK(B55),1,B55),1)*(((LEFT(A63,LEN(A63)-10)-3)*0.25+1)*F63*IF(F46="NONE",1,IF(F46="ALL",(1+LEFT(A63,LEN(A63)-10)*0.06),(1+LEFT(A63,LEN(A63)-10)*0.06*F46)))*IF(LEFT(A63,LEN(A63)-10)="4", 1.5^F25, 1)+((LEFT(A64,LEN(A64)-10)-3)*0.25+1)*F64*IF(F46="NONE",1,IF(F46="ALL",(1+LEFT(A64,LEN(A64)-10)*0.06),(1+LEFT(A64,LEN(A64)-10)*0.06*F46)))*IF(LEFT(A64,LEN(A64)-10)="4", 1.5^F25, 1)+((LEFT(A65,LEN(A65)-10)-3)*0.25+1)*F65*IF(F46="NONE",1,IF(F46="ALL",(1+LEFT(A65,LEN(A65)-10)*0.06),(1+LEFT(A65,LEN(A65)-10)*0.06*F46)))*IF(LEFT(A65,LEN(A65)-10)="4", 1.5^F25, 1)+((LEFT(A66,LEN(A66)-10)-3)*0.25+1)*F66*IF(F46="NONE",1,IF(F46="ALL",(1+LEFT(A66,LEN(A66)-10)*0.06),(1+LEFT(A66,LEN(A66)-10)*0.06*F46)))*IF(LEFT(A66,LEN(A66)-10)="4", 1.5^F25, 1)+((LEFT(A67,LEN(A67)-10)-3)*0.25+1)*F67*IF(F46="NONE",1,IF(F46="ALL",(1+LEFT(A67,LEN(A67)-10)*0.06),(1+LEFT(A67,LEN(A67)-10)*0.06*F46)))*IF(LEFT(A67,LEN(A67)-10)="4", 1.5^F25, 1)),0)</f>
        <v>789600</v>
      </c>
      <c r="G73" s="41">
        <f>ROUND(ROUND(IF(G11="FIRE",1,0)*(G33),0)*((SUM(B63:G67)-1)*0.25+1)*IF(OR(D52=G11,D52=G12,D52=G13,D52=G14,D52="ALL"),IF(ISBLANK(B52),1,B52),1)*IF(OR(D53=G11,D53=G12,D53=G13,D53=G14,D53="ALL"),IF(ISBLANK(B53),1,B53),1)*(B60*B49*0.1+1)*IF(OR(D55=G13,D55=G14,D55="ALL",D55="FIRE"),IF(ISBLANK(B55),1,B55),1)*(((LEFT(A63,LEN(A63)-10)-3)*0.25+1)*B63*IF(B46="NONE",1,IF(B46="ALL",(1+LEFT(A63,LEN(A63)-10)*0.06),(1+LEFT(A63,LEN(A63)-10)*0.06*B46)))*IF(LEFT(A63,LEN(A63)-10)="4", 1.5^G25, 1)+((LEFT(A64,LEN(A64)-10)-3)*0.25+1)*B64*IF(B46="NONE",1,IF(B46="ALL",(1+LEFT(A64,LEN(A64)-10)*0.06),(1+LEFT(A64,LEN(A64)-10)*0.06*B46)))*IF(LEFT(A64,LEN(A64)-10)="4", 1.5^G25, 1)+((LEFT(A65,LEN(A65)-10)-3)*0.25+1)*B65*IF(B46="NONE",1,IF(B46="ALL",(1+LEFT(A65,LEN(A65)-10)*0.06),(1+LEFT(A65,LEN(A65)-10)*0.06*B46)))*IF(LEFT(A65,LEN(A65)-10)="4", 1.5^G25, 1)+((LEFT(A66,LEN(A66)-10)-3)*0.25+1)*B66*IF(B46="NONE",1,IF(B46="ALL",(1+LEFT(A66,LEN(A66)-10)*0.06),(1+LEFT(A66,LEN(A66)-10)*0.06*B46)))*IF(LEFT(A66,LEN(A66)-10)="4", 1.5^G25, 1)+((LEFT(A67,LEN(A67)-10)-3)*0.25+1)*B67*IF(B46="NONE",1,IF(B46="ALL",(1+LEFT(A67,LEN(A67)-10)*0.06),(1+LEFT(A67,LEN(A67)-10)*0.06*B46)))*IF(LEFT(A67,LEN(A67)-10)="4", 1.5^G25, 1)),0)+ROUND(ROUND(IF(G11="WATER",1,0)*(G33),0)*((SUM(B63:G67)-1)*0.25+1)*IF(OR(D52=G11,D52=G12,D52=G13,D52=G14,D52="ALL"),IF(ISBLANK(B52),1,B52),1)*IF(OR(D53=G11,D53=G12,D53=G13,D53=G14,D53="ALL"),IF(ISBLANK(B53),1,B53),1)*(C60*C49*0.1+1)*IF(OR(D55=G13,D55=G14,D55="ALL",D55="WATER"),IF(ISBLANK(B55),1,B55),1)*(((LEFT(A63,LEN(A63)-10)-3)*0.25+1)*C63*IF(C46="NONE",1,IF(C46="ALL",(1+LEFT(A63,LEN(A63)-10)*0.06),(1+LEFT(A63,LEN(A63)-10)*0.06*C46)))*IF(LEFT(A63,LEN(A63)-10)="4", 1.5^G25, 1)+((LEFT(A64,LEN(A64)-10)-3)*0.25+1)*C64*IF(C46="NONE",1,IF(C46="ALL",(1+LEFT(A64,LEN(A64)-10)*0.06),(1+LEFT(A64,LEN(A64)-10)*0.06*C46)))*IF(LEFT(A64,LEN(A64)-10)="4", 1.5^G25, 1)+((LEFT(A65,LEN(A65)-10)-3)*0.25+1)*C65*IF(C46="NONE",1,IF(C46="ALL",(1+LEFT(A65,LEN(A65)-10)*0.06),(1+LEFT(A65,LEN(A65)-10)*0.06*C46)))*IF(LEFT(A65,LEN(A65)-10)="4", 1.5^G25, 1)+((LEFT(A66,LEN(A66)-10)-3)*0.25+1)*C66*IF(C46="NONE",1,IF(C46="ALL",(1+LEFT(A66,LEN(A66)-10)*0.06),(1+LEFT(A66,LEN(A66)-10)*0.06*C46)))*IF(LEFT(A66,LEN(A66)-10)="4", 1.5^G25, 1)+((LEFT(A67,LEN(A67)-10)-3)*0.25+1)*C67*IF(C46="NONE",1,IF(C46="ALL",(1+LEFT(A67,LEN(A67)-10)*0.06),(1+LEFT(A67,LEN(A67)-10)*0.06*C46)))*IF(LEFT(A67,LEN(A67)-10)="4", 1.5^G25, 1)),0)+ROUND(ROUND(IF(G11="WOOD",1,0)*(G33),0)*((SUM(B63:G67)-1)*0.25+1)*IF(OR(D52=G11,D52=G12,D52=G13,D52=G14,D52="ALL"),IF(ISBLANK(B52),1,B52),1)*IF(OR(D53=G11,D53=G12,D53=G13,D53=G14,D53="ALL"),IF(ISBLANK(B53),1,B53),1)*(D60*D49*0.1+1)*IF(OR(D55=G13,D55=G14,D55="ALL",D55="WOOD"),IF(ISBLANK(B55),1,B55),1)*(((LEFT(A63,LEN(A63)-10)-3)*0.25+1)*D63*IF(D46="NONE",1,IF(D46="ALL",(1+LEFT(A63,LEN(A63)-10)*0.06),(1+LEFT(A63,LEN(A63)-10)*0.06*D46)))*IF(LEFT(A63,LEN(A63)-10)="4", 1.5^G25, 1)+((LEFT(A64,LEN(A64)-10)-3)*0.25+1)*D64*IF(D46="NONE",1,IF(D46="ALL",(1+LEFT(A64,LEN(A64)-10)*0.06),(1+LEFT(A64,LEN(A64)-10)*0.06*D46)))*IF(LEFT(A64,LEN(A64)-10)="4", 1.5^G25, 1)+((LEFT(A65,LEN(A65)-10)-3)*0.25+1)*D65*IF(D46="NONE",1,IF(D46="ALL",(1+LEFT(A65,LEN(A65)-10)*0.06),(1+LEFT(A65,LEN(A65)-10)*0.06*D46)))*IF(LEFT(A65,LEN(A65)-10)="4", 1.5^G25, 1)+((LEFT(A66,LEN(A66)-10)-3)*0.25+1)*D66*IF(D46="NONE",1,IF(D46="ALL",(1+LEFT(A66,LEN(A66)-10)*0.06),(1+LEFT(A66,LEN(A66)-10)*0.06*D46)))*IF(LEFT(A66,LEN(A66)-10)="4", 1.5^G25, 1)+((LEFT(A67,LEN(A67)-10)-3)*0.25+1)*D67*IF(D46="NONE",1,IF(D46="ALL",(1+LEFT(A67,LEN(A67)-10)*0.06),(1+LEFT(A67,LEN(A67)-10)*0.06*D46)))*IF(LEFT(A67,LEN(A67)-10)="4", 1.5^G25, 1)),0)+ROUND(ROUND(IF(G11="LIGHT",1,0)*(G33),0)*((SUM(B63:G67)-1)*0.25+1)*IF(OR(D52=G11,D52=G12,D52=G13,D52=G14,D52="ALL"),IF(ISBLANK(B52),1,B52),1)*IF(OR(D53=G11,D53=G12,D53=G13,D53=G14,D53="ALL"),IF(ISBLANK(B53),1,B53),1)*(E60*E49*0.1+1)*IF(OR(D55=G13,D55=G14,D55="ALL",D55="LIGHT"),IF(ISBLANK(B55),1,B55),1)*(((LEFT(A63,LEN(A63)-10)-3)*0.25+1)*E63*IF(E46="NONE",1,IF(E46="ALL",(1+LEFT(A63,LEN(A63)-10)*0.06),(1+LEFT(A63,LEN(A63)-10)*0.06*E46)))*IF(LEFT(A63,LEN(A63)-10)="4", 1.5^G25, 1)+((LEFT(A64,LEN(A64)-10)-3)*0.25+1)*E64*IF(E46="NONE",1,IF(E46="ALL",(1+LEFT(A64,LEN(A64)-10)*0.06),(1+LEFT(A64,LEN(A64)-10)*0.06*E46)))*IF(LEFT(A64,LEN(A64)-10)="4", 1.5^G25, 1)+((LEFT(A65,LEN(A65)-10)-3)*0.25+1)*E65*IF(E46="NONE",1,IF(E46="ALL",(1+LEFT(A65,LEN(A65)-10)*0.06),(1+LEFT(A65,LEN(A65)-10)*0.06*E46)))*IF(LEFT(A65,LEN(A65)-10)="4", 1.5^G25, 1)+((LEFT(A66,LEN(A66)-10)-3)*0.25+1)*E66*IF(E46="NONE",1,IF(E46="ALL",(1+LEFT(A66,LEN(A66)-10)*0.06),(1+LEFT(A66,LEN(A66)-10)*0.06*E46)))*IF(LEFT(A66,LEN(A66)-10)="4", 1.5^G25, 1)+((LEFT(A67,LEN(A67)-10)-3)*0.25+1)*E67*IF(E46="NONE",1,IF(E46="ALL",(1+LEFT(A67,LEN(A67)-10)*0.06),(1+LEFT(A67,LEN(A67)-10)*0.06*E46)))*IF(LEFT(A67,LEN(A67)-10)="4", 1.5^G25, 1)),0)+ROUND(ROUND(IF(G11="DARK",1,0)*(G33),0)*((SUM(B63:G67)-1)*0.25+1)*IF(OR(D52=G11,D52=G12,D52=G13,D52=G14,D52="ALL"),IF(ISBLANK(B52),1,B52),1)*IF(OR(D53=G11,D53=G12,D53=G13,D53=G14,D53="ALL"),IF(ISBLANK(B53),1,B53),1)*(F60*F49*0.1+1)*IF(OR(D55=G13,D55=G14,D55="ALL",D55="DARK"),IF(ISBLANK(B55),1,B55),1)*(((LEFT(A63,LEN(A63)-10)-3)*0.25+1)*F63*IF(F46="NONE",1,IF(F46="ALL",(1+LEFT(A63,LEN(A63)-10)*0.06),(1+LEFT(A63,LEN(A63)-10)*0.06*F46)))*IF(LEFT(A63,LEN(A63)-10)="4", 1.5^G25, 1)+((LEFT(A64,LEN(A64)-10)-3)*0.25+1)*F64*IF(F46="NONE",1,IF(F46="ALL",(1+LEFT(A64,LEN(A64)-10)*0.06),(1+LEFT(A64,LEN(A64)-10)*0.06*F46)))*IF(LEFT(A64,LEN(A64)-10)="4", 1.5^G25, 1)+((LEFT(A65,LEN(A65)-10)-3)*0.25+1)*F65*IF(F46="NONE",1,IF(F46="ALL",(1+LEFT(A65,LEN(A65)-10)*0.06),(1+LEFT(A65,LEN(A65)-10)*0.06*F46)))*IF(LEFT(A65,LEN(A65)-10)="4", 1.5^G25, 1)+((LEFT(A66,LEN(A66)-10)-3)*0.25+1)*F66*IF(F46="NONE",1,IF(F46="ALL",(1+LEFT(A66,LEN(A66)-10)*0.06),(1+LEFT(A66,LEN(A66)-10)*0.06*F46)))*IF(LEFT(A66,LEN(A66)-10)="4", 1.5^G25, 1)+((LEFT(A67,LEN(A67)-10)-3)*0.25+1)*F67*IF(F46="NONE",1,IF(F46="ALL",(1+LEFT(A67,LEN(A67)-10)*0.06),(1+LEFT(A67,LEN(A67)-10)*0.06*F46)))*IF(LEFT(A67,LEN(A67)-10)="4", 1.5^G25, 1)),0)</f>
        <v>2709720</v>
      </c>
    </row>
    <row r="74" spans="1:7" x14ac:dyDescent="0.25">
      <c r="A74" s="114" t="s">
        <v>50</v>
      </c>
      <c r="B74" s="41">
        <f>ROUND(ROUND(IF(AND(B12="FIRE",B11=B12),0.1,IF(B12="FIRE",1/3,0))*(B33),0)*((SUM(B63:G67)-1)*0.25+1)*IF(OR(D52=B11,D52=B12,D52=B13,D52=B14,D52="ALL"),IF(ISBLANK(B52),1,B52),1)*IF(OR(D53=B11,D53=B12,D53=B13,D53=B14,D53="ALL"),IF(ISBLANK(B53),1,B53),1)*(B60*B49*0.1+1)*IF(OR(D55=B13,D55=B14,D55="ALL",D55="FIRE"),IF(ISBLANK(B55),1,B55),1)*(((LEFT(A63,LEN(A63)-10)-3)*0.25+1)*B63*IF(B46="NONE",1,IF(B46="ALL",(1+LEFT(A63,LEN(A63)-10)*0.06),(1+LEFT(A63,LEN(A63)-10)*0.06*B46)))*IF(LEFT(A63,LEN(A63)-10)="4", 1.5^B25, 1)+((LEFT(A64,LEN(A64)-10)-3)*0.25+1)*B64*IF(B46="NONE",1,IF(B46="ALL",(1+LEFT(A64,LEN(A64)-10)*0.06),(1+LEFT(A64,LEN(A64)-10)*0.06*B46)))*IF(LEFT(A64,LEN(A64)-10)="4", 1.5^B25, 1)+((LEFT(A65,LEN(A65)-10)-3)*0.25+1)*B65*IF(B46="NONE",1,IF(B46="ALL",(1+LEFT(A65,LEN(A65)-10)*0.06),(1+LEFT(A65,LEN(A65)-10)*0.06*B46)))*IF(LEFT(A65,LEN(A65)-10)="4", 1.5^B25, 1)+((LEFT(A66,LEN(A66)-10)-3)*0.25+1)*B66*IF(B46="NONE",1,IF(B46="ALL",(1+LEFT(A66,LEN(A66)-10)*0.06),(1+LEFT(A66,LEN(A66)-10)*0.06*B46)))*IF(LEFT(A66,LEN(A66)-10)="4", 1.5^B25, 1)+((LEFT(A67,LEN(A67)-10)-3)*0.25+1)*B67*IF(B46="NONE",1,IF(B46="ALL",(1+LEFT(A67,LEN(A67)-10)*0.06),(1+LEFT(A67,LEN(A67)-10)*0.06*B46)))*IF(LEFT(A67,LEN(A67)-10)="4", 1.5^B25, 1)),0)+ROUND(ROUND(IF(AND(B12="WATER",B11=B12),0.1,IF(B12="WATER",1/3,0))*(B33),0)*((SUM(B63:G67)-1)*0.25+1)*IF(OR(D52=B11,D52=B12,D52=B13,D52=B14,D52="ALL"),IF(ISBLANK(B52),1,B52),1)*IF(OR(D53=B11,D53=B12,D53=B13,D53=B14,D53="ALL"),IF(ISBLANK(B53),1,B53),1)*(C60*C49*0.1+1)*IF(OR(D55=B13,D55=B14,D55="ALL",D55="WATER"),IF(ISBLANK(B55),1,B55),1)*(((LEFT(A63,LEN(A63)-10)-3)*0.25+1)*C63*IF(C46="NONE",1,IF(C46="ALL",(1+LEFT(A63,LEN(A63)-10)*0.06),(1+LEFT(A63,LEN(A63)-10)*0.06*C46)))*IF(LEFT(A63,LEN(A63)-10)="4", 1.5^B25, 1)+((LEFT(A64,LEN(A64)-10)-3)*0.25+1)*C64*IF(C46="NONE",1,IF(C46="ALL",(1+LEFT(A64,LEN(A64)-10)*0.06),(1+LEFT(A64,LEN(A64)-10)*0.06*C46)))*IF(LEFT(A64,LEN(A64)-10)="4", 1.5^B25, 1)+((LEFT(A65,LEN(A65)-10)-3)*0.25+1)*C65*IF(C46="NONE",1,IF(C46="ALL",(1+LEFT(A65,LEN(A65)-10)*0.06),(1+LEFT(A65,LEN(A65)-10)*0.06*C46)))*IF(LEFT(A65,LEN(A65)-10)="4", 1.5^B25, 1)+((LEFT(A66,LEN(A66)-10)-3)*0.25+1)*C66*IF(C46="NONE",1,IF(C46="ALL",(1+LEFT(A66,LEN(A66)-10)*0.06),(1+LEFT(A66,LEN(A66)-10)*0.06*C46)))*IF(LEFT(A66,LEN(A66)-10)="4", 1.5^B25, 1)+((LEFT(A67,LEN(A67)-10)-3)*0.25+1)*C67*IF(C46="NONE",1,IF(C46="ALL",(1+LEFT(A67,LEN(A67)-10)*0.06),(1+LEFT(A67,LEN(A67)-10)*0.06*C46)))*IF(LEFT(A67,LEN(A67)-10)="4", 1.5^B25, 1)),0)+ROUND(ROUND(IF(AND(B12="WOOD",B11=B12),0.1,IF(B12="WOOD",1/3,0))*(B33),0)*((SUM(B63:G67)-1)*0.25+1)*IF(OR(D52=B11,D52=B12,D52=B13,D52=B14,D52="ALL"),IF(ISBLANK(B52),1,B52),1)*IF(OR(D53=B11,D53=B12,D53=B13,D53=B14,D53="ALL"),IF(ISBLANK(B53),1,B53),1)*(D60*D49*0.1+1)*IF(OR(D55=B13,D55=B14,D55="ALL",D55="WOOD"),IF(ISBLANK(B55),1,B55),1)*(((LEFT(A63,LEN(A63)-10)-3)*0.25+1)*D63*IF(D46="NONE",1,IF(D46="ALL",(1+LEFT(A63,LEN(A63)-10)*0.06),(1+LEFT(A63,LEN(A63)-10)*0.06*D46)))*IF(LEFT(A63,LEN(A63)-10)="4", 1.5^B25, 1)+((LEFT(A64,LEN(A64)-10)-3)*0.25+1)*D64*IF(D46="NONE",1,IF(D46="ALL",(1+LEFT(A64,LEN(A64)-10)*0.06),(1+LEFT(A64,LEN(A64)-10)*0.06*D46)))*IF(LEFT(A64,LEN(A64)-10)="4", 1.5^B25, 1)+((LEFT(A65,LEN(A65)-10)-3)*0.25+1)*D65*IF(D46="NONE",1,IF(D46="ALL",(1+LEFT(A65,LEN(A65)-10)*0.06),(1+LEFT(A65,LEN(A65)-10)*0.06*D46)))*IF(LEFT(A65,LEN(A65)-10)="4", 1.5^B25, 1)+((LEFT(A66,LEN(A66)-10)-3)*0.25+1)*D66*IF(D46="NONE",1,IF(D46="ALL",(1+LEFT(A66,LEN(A66)-10)*0.06),(1+LEFT(A66,LEN(A66)-10)*0.06*D46)))*IF(LEFT(A66,LEN(A66)-10)="4", 1.5^B25, 1)+((LEFT(A67,LEN(A67)-10)-3)*0.25+1)*D67*IF(D46="NONE",1,IF(D46="ALL",(1+LEFT(A67,LEN(A67)-10)*0.06),(1+LEFT(A67,LEN(A67)-10)*0.06*D46)))*IF(LEFT(A67,LEN(A67)-10)="4", 1.5^B25, 1)),0)+ROUND(ROUND(IF(AND(B12="LIGHT",B11=B12),0.1,IF(B12="LIGHT",1/3,0))*(B33),0)*((SUM(B63:G67)-1)*0.25+1)*IF(OR(D52=B11,D52=B12,D52=B13,D52=B14,D52="ALL"),IF(ISBLANK(B52),1,B52),1)*IF(OR(D53=B11,D53=B12,D53=B13,D53=B14,D53="ALL"),IF(ISBLANK(B53),1,B53),1)*(E60*E49*0.1+1)*IF(OR(D55=B13,D55=B14,D55="ALL",D55="LIGHT"),IF(ISBLANK(B55),1,B55),1)*(((LEFT(A63,LEN(A63)-10)-3)*0.25+1)*E63*IF(E46="NONE",1,IF(E46="ALL",(1+LEFT(A63,LEN(A63)-10)*0.06),(1+LEFT(A63,LEN(A63)-10)*0.06*E46)))*IF(LEFT(A63,LEN(A63)-10)="4", 1.5^B25, 1)+((LEFT(A64,LEN(A64)-10)-3)*0.25+1)*E64*IF(E46="NONE",1,IF(E46="ALL",(1+LEFT(A64,LEN(A64)-10)*0.06),(1+LEFT(A64,LEN(A64)-10)*0.06*E46)))*IF(LEFT(A64,LEN(A64)-10)="4", 1.5^B25, 1)+((LEFT(A65,LEN(A65)-10)-3)*0.25+1)*E65*IF(E46="NONE",1,IF(E46="ALL",(1+LEFT(A65,LEN(A65)-10)*0.06),(1+LEFT(A65,LEN(A65)-10)*0.06*E46)))*IF(LEFT(A65,LEN(A65)-10)="4", 1.5^B25, 1)+((LEFT(A66,LEN(A66)-10)-3)*0.25+1)*E66*IF(E46="NONE",1,IF(E46="ALL",(1+LEFT(A66,LEN(A66)-10)*0.06),(1+LEFT(A66,LEN(A66)-10)*0.06*E46)))*IF(LEFT(A66,LEN(A66)-10)="4", 1.5^B25, 1)+((LEFT(A67,LEN(A67)-10)-3)*0.25+1)*E67*IF(E46="NONE",1,IF(E46="ALL",(1+LEFT(A67,LEN(A67)-10)*0.06),(1+LEFT(A67,LEN(A67)-10)*0.06*E46)))*IF(LEFT(A67,LEN(A67)-10)="4", 1.5^B25, 1)),0)+ROUND(ROUND(IF(AND(B12="DARK",B11=B12),0.1,IF(B12="DARK",1/3,0))*(B33),0)*((SUM(B63:G67)-1)*0.25+1)*IF(OR(D52=B11,D52=B12,D52=B13,D52=B14,D52="ALL"),IF(ISBLANK(B52),1,B52),1)*IF(OR(D53=B11,D53=B12,D53=B13,D53=B14,D53="ALL"),IF(ISBLANK(B53),1,B53),1)*(F60*F49*0.1+1)*IF(OR(D55=B13,D55=B14,D55="ALL",D55="DARK"),IF(ISBLANK(B55),1,B55),1)*(((LEFT(A63,LEN(A63)-10)-3)*0.25+1)*F63*IF(F46="NONE",1,IF(F46="ALL",(1+LEFT(A63,LEN(A63)-10)*0.06),(1+LEFT(A63,LEN(A63)-10)*0.06*F46)))*IF(LEFT(A63,LEN(A63)-10)="4", 1.5^B25, 1)+((LEFT(A64,LEN(A64)-10)-3)*0.25+1)*F64*IF(F46="NONE",1,IF(F46="ALL",(1+LEFT(A64,LEN(A64)-10)*0.06),(1+LEFT(A64,LEN(A64)-10)*0.06*F46)))*IF(LEFT(A64,LEN(A64)-10)="4", 1.5^B25, 1)+((LEFT(A65,LEN(A65)-10)-3)*0.25+1)*F65*IF(F46="NONE",1,IF(F46="ALL",(1+LEFT(A65,LEN(A65)-10)*0.06),(1+LEFT(A65,LEN(A65)-10)*0.06*F46)))*IF(LEFT(A65,LEN(A65)-10)="4", 1.5^B25, 1)+((LEFT(A66,LEN(A66)-10)-3)*0.25+1)*F66*IF(F46="NONE",1,IF(F46="ALL",(1+LEFT(A66,LEN(A66)-10)*0.06),(1+LEFT(A66,LEN(A66)-10)*0.06*F46)))*IF(LEFT(A66,LEN(A66)-10)="4", 1.5^B25, 1)+((LEFT(A67,LEN(A67)-10)-3)*0.25+1)*F67*IF(F46="NONE",1,IF(F46="ALL",(1+LEFT(A67,LEN(A67)-10)*0.06),(1+LEFT(A67,LEN(A67)-10)*0.06*F46)))*IF(LEFT(A67,LEN(A67)-10)="4", 1.5^B25, 1)),0)</f>
        <v>80256</v>
      </c>
      <c r="C74" s="41">
        <f>ROUND(ROUND(IF(AND(C12="FIRE",C11=C12),0.1,IF(C12="FIRE",1/3,0))*(C33),0)*((SUM(B63:G67)-1)*0.25+1)*IF(OR(D52=C11,D52=C12,D52=C13,D52=C14,D52="ALL"),IF(ISBLANK(B52),1,B52),1)*IF(OR(D53=C11,D53=C12,D53=C13,D53=C14,D53="ALL"),IF(ISBLANK(B53),1,B53),1)*(B60*B49*0.1+1)*IF(OR(D55=C13,D55=C14,D55="ALL",D55="FIRE"),IF(ISBLANK(B55),1,B55),1)*(((LEFT(A63,LEN(A63)-10)-3)*0.25+1)*B63*IF(B46="NONE",1,IF(B46="ALL",(1+LEFT(A63,LEN(A63)-10)*0.06),(1+LEFT(A63,LEN(A63)-10)*0.06*B46)))*IF(LEFT(A63,LEN(A63)-10)="4", 1.5^C25, 1)+((LEFT(A64,LEN(A64)-10)-3)*0.25+1)*B64*IF(B46="NONE",1,IF(B46="ALL",(1+LEFT(A64,LEN(A64)-10)*0.06),(1+LEFT(A64,LEN(A64)-10)*0.06*B46)))*IF(LEFT(A64,LEN(A64)-10)="4", 1.5^C25, 1)+((LEFT(A65,LEN(A65)-10)-3)*0.25+1)*B65*IF(B46="NONE",1,IF(B46="ALL",(1+LEFT(A65,LEN(A65)-10)*0.06),(1+LEFT(A65,LEN(A65)-10)*0.06*B46)))*IF(LEFT(A65,LEN(A65)-10)="4", 1.5^C25, 1)+((LEFT(A66,LEN(A66)-10)-3)*0.25+1)*B66*IF(B46="NONE",1,IF(B46="ALL",(1+LEFT(A66,LEN(A66)-10)*0.06),(1+LEFT(A66,LEN(A66)-10)*0.06*B46)))*IF(LEFT(A66,LEN(A66)-10)="4", 1.5^C25, 1)+((LEFT(A67,LEN(A67)-10)-3)*0.25+1)*B67*IF(B46="NONE",1,IF(B46="ALL",(1+LEFT(A67,LEN(A67)-10)*0.06),(1+LEFT(A67,LEN(A67)-10)*0.06*B46)))*IF(LEFT(A67,LEN(A67)-10)="4", 1.5^C25, 1)),0)+ROUND(ROUND(IF(AND(C12="WATER",C11=C12),0.1,IF(C12="WATER",1/3,0))*(C33),0)*((SUM(B63:G67)-1)*0.25+1)*IF(OR(D52=C11,D52=C12,D52=C13,D52=C14,D52="ALL"),IF(ISBLANK(B52),1,B52),1)*IF(OR(D53=C11,D53=C12,D53=C13,D53=C14,D53="ALL"),IF(ISBLANK(B53),1,B53),1)*(C60*C49*0.1+1)*IF(OR(D55=C13,D55=C14,D55="ALL",D55="WATER"),IF(ISBLANK(B55),1,B55),1)*(((LEFT(A63,LEN(A63)-10)-3)*0.25+1)*C63*IF(C46="NONE",1,IF(C46="ALL",(1+LEFT(A63,LEN(A63)-10)*0.06),(1+LEFT(A63,LEN(A63)-10)*0.06*C46)))*IF(LEFT(A63,LEN(A63)-10)="4", 1.5^C25, 1)+((LEFT(A64,LEN(A64)-10)-3)*0.25+1)*C64*IF(C46="NONE",1,IF(C46="ALL",(1+LEFT(A64,LEN(A64)-10)*0.06),(1+LEFT(A64,LEN(A64)-10)*0.06*C46)))*IF(LEFT(A64,LEN(A64)-10)="4", 1.5^C25, 1)+((LEFT(A65,LEN(A65)-10)-3)*0.25+1)*C65*IF(C46="NONE",1,IF(C46="ALL",(1+LEFT(A65,LEN(A65)-10)*0.06),(1+LEFT(A65,LEN(A65)-10)*0.06*C46)))*IF(LEFT(A65,LEN(A65)-10)="4", 1.5^C25, 1)+((LEFT(A66,LEN(A66)-10)-3)*0.25+1)*C66*IF(C46="NONE",1,IF(C46="ALL",(1+LEFT(A66,LEN(A66)-10)*0.06),(1+LEFT(A66,LEN(A66)-10)*0.06*C46)))*IF(LEFT(A66,LEN(A66)-10)="4", 1.5^C25, 1)+((LEFT(A67,LEN(A67)-10)-3)*0.25+1)*C67*IF(C46="NONE",1,IF(C46="ALL",(1+LEFT(A67,LEN(A67)-10)*0.06),(1+LEFT(A67,LEN(A67)-10)*0.06*C46)))*IF(LEFT(A67,LEN(A67)-10)="4", 1.5^C25, 1)),0)+ROUND(ROUND(IF(AND(C12="WOOD",C11=C12),0.1,IF(C12="WOOD",1/3,0))*(C33),0)*((SUM(B63:G67)-1)*0.25+1)*IF(OR(D52=C11,D52=C12,D52=C13,D52=C14,D52="ALL"),IF(ISBLANK(B52),1,B52),1)*IF(OR(D53=C11,D53=C12,D53=C13,D53=C14,D53="ALL"),IF(ISBLANK(B53),1,B53),1)*(D60*D49*0.1+1)*IF(OR(D55=C13,D55=C14,D55="ALL",D55="WOOD"),IF(ISBLANK(B55),1,B55),1)*(((LEFT(A63,LEN(A63)-10)-3)*0.25+1)*D63*IF(D46="NONE",1,IF(D46="ALL",(1+LEFT(A63,LEN(A63)-10)*0.06),(1+LEFT(A63,LEN(A63)-10)*0.06*D46)))*IF(LEFT(A63,LEN(A63)-10)="4", 1.5^C25, 1)+((LEFT(A64,LEN(A64)-10)-3)*0.25+1)*D64*IF(D46="NONE",1,IF(D46="ALL",(1+LEFT(A64,LEN(A64)-10)*0.06),(1+LEFT(A64,LEN(A64)-10)*0.06*D46)))*IF(LEFT(A64,LEN(A64)-10)="4", 1.5^C25, 1)+((LEFT(A65,LEN(A65)-10)-3)*0.25+1)*D65*IF(D46="NONE",1,IF(D46="ALL",(1+LEFT(A65,LEN(A65)-10)*0.06),(1+LEFT(A65,LEN(A65)-10)*0.06*D46)))*IF(LEFT(A65,LEN(A65)-10)="4", 1.5^C25, 1)+((LEFT(A66,LEN(A66)-10)-3)*0.25+1)*D66*IF(D46="NONE",1,IF(D46="ALL",(1+LEFT(A66,LEN(A66)-10)*0.06),(1+LEFT(A66,LEN(A66)-10)*0.06*D46)))*IF(LEFT(A66,LEN(A66)-10)="4", 1.5^C25, 1)+((LEFT(A67,LEN(A67)-10)-3)*0.25+1)*D67*IF(D46="NONE",1,IF(D46="ALL",(1+LEFT(A67,LEN(A67)-10)*0.06),(1+LEFT(A67,LEN(A67)-10)*0.06*D46)))*IF(LEFT(A67,LEN(A67)-10)="4", 1.5^C25, 1)),0)+ROUND(ROUND(IF(AND(C12="LIGHT",C11=C12),0.1,IF(C12="LIGHT",1/3,0))*(C33),0)*((SUM(B63:G67)-1)*0.25+1)*IF(OR(D52=C11,D52=C12,D52=C13,D52=C14,D52="ALL"),IF(ISBLANK(B52),1,B52),1)*IF(OR(D53=C11,D53=C12,D53=C13,D53=C14,D53="ALL"),IF(ISBLANK(B53),1,B53),1)*(E60*E49*0.1+1)*IF(OR(D55=C13,D55=C14,D55="ALL",D55="LIGHT"),IF(ISBLANK(B55),1,B55),1)*(((LEFT(A63,LEN(A63)-10)-3)*0.25+1)*E63*IF(E46="NONE",1,IF(E46="ALL",(1+LEFT(A63,LEN(A63)-10)*0.06),(1+LEFT(A63,LEN(A63)-10)*0.06*E46)))*IF(LEFT(A63,LEN(A63)-10)="4", 1.5^C25, 1)+((LEFT(A64,LEN(A64)-10)-3)*0.25+1)*E64*IF(E46="NONE",1,IF(E46="ALL",(1+LEFT(A64,LEN(A64)-10)*0.06),(1+LEFT(A64,LEN(A64)-10)*0.06*E46)))*IF(LEFT(A64,LEN(A64)-10)="4", 1.5^C25, 1)+((LEFT(A65,LEN(A65)-10)-3)*0.25+1)*E65*IF(E46="NONE",1,IF(E46="ALL",(1+LEFT(A65,LEN(A65)-10)*0.06),(1+LEFT(A65,LEN(A65)-10)*0.06*E46)))*IF(LEFT(A65,LEN(A65)-10)="4", 1.5^C25, 1)+((LEFT(A66,LEN(A66)-10)-3)*0.25+1)*E66*IF(E46="NONE",1,IF(E46="ALL",(1+LEFT(A66,LEN(A66)-10)*0.06),(1+LEFT(A66,LEN(A66)-10)*0.06*E46)))*IF(LEFT(A66,LEN(A66)-10)="4", 1.5^C25, 1)+((LEFT(A67,LEN(A67)-10)-3)*0.25+1)*E67*IF(E46="NONE",1,IF(E46="ALL",(1+LEFT(A67,LEN(A67)-10)*0.06),(1+LEFT(A67,LEN(A67)-10)*0.06*E46)))*IF(LEFT(A67,LEN(A67)-10)="4", 1.5^C25, 1)),0)+ROUND(ROUND(IF(AND(C12="DARK",C11=C12),0.1,IF(C12="DARK",1/3,0))*(C33),0)*((SUM(B63:G67)-1)*0.25+1)*IF(OR(D52=C11,D52=C12,D52=C13,D52=C14,D52="ALL"),IF(ISBLANK(B52),1,B52),1)*IF(OR(D53=C11,D53=C12,D53=C13,D53=C14,D53="ALL"),IF(ISBLANK(B53),1,B53),1)*(F60*F49*0.1+1)*IF(OR(D55=C13,D55=C14,D55="ALL",D55="DARK"),IF(ISBLANK(B55),1,B55),1)*(((LEFT(A63,LEN(A63)-10)-3)*0.25+1)*F63*IF(F46="NONE",1,IF(F46="ALL",(1+LEFT(A63,LEN(A63)-10)*0.06),(1+LEFT(A63,LEN(A63)-10)*0.06*F46)))*IF(LEFT(A63,LEN(A63)-10)="4", 1.5^C25, 1)+((LEFT(A64,LEN(A64)-10)-3)*0.25+1)*F64*IF(F46="NONE",1,IF(F46="ALL",(1+LEFT(A64,LEN(A64)-10)*0.06),(1+LEFT(A64,LEN(A64)-10)*0.06*F46)))*IF(LEFT(A64,LEN(A64)-10)="4", 1.5^C25, 1)+((LEFT(A65,LEN(A65)-10)-3)*0.25+1)*F65*IF(F46="NONE",1,IF(F46="ALL",(1+LEFT(A65,LEN(A65)-10)*0.06),(1+LEFT(A65,LEN(A65)-10)*0.06*F46)))*IF(LEFT(A65,LEN(A65)-10)="4", 1.5^C25, 1)+((LEFT(A66,LEN(A66)-10)-3)*0.25+1)*F66*IF(F46="NONE",1,IF(F46="ALL",(1+LEFT(A66,LEN(A66)-10)*0.06),(1+LEFT(A66,LEN(A66)-10)*0.06*F46)))*IF(LEFT(A66,LEN(A66)-10)="4", 1.5^C25, 1)+((LEFT(A67,LEN(A67)-10)-3)*0.25+1)*F67*IF(F46="NONE",1,IF(F46="ALL",(1+LEFT(A67,LEN(A67)-10)*0.06),(1+LEFT(A67,LEN(A67)-10)*0.06*F46)))*IF(LEFT(A67,LEN(A67)-10)="4", 1.5^C25, 1)),0)</f>
        <v>136080</v>
      </c>
      <c r="D74" s="41">
        <f>ROUND(ROUND(IF(AND(D12="FIRE",D11=D12),0.1,IF(D12="FIRE",1/3,0))*(D33),0)*((SUM(B63:G67)-1)*0.25+1)*IF(OR(D52=D11,D52=D12,D52=D13,D52=D14,D52="ALL"),IF(ISBLANK(B52),1,B52),1)*IF(OR(D53=D11,D53=D12,D53=D13,D53=D14,D53="ALL"),IF(ISBLANK(B53),1,B53),1)*(B60*B49*0.1+1)*IF(OR(D55=D13,D55=D14,D55="ALL",D55="FIRE"),IF(ISBLANK(B55),1,B55),1)*(((LEFT(A63,LEN(A63)-10)-3)*0.25+1)*B63*IF(B46="NONE",1,IF(B46="ALL",(1+LEFT(A63,LEN(A63)-10)*0.06),(1+LEFT(A63,LEN(A63)-10)*0.06*B46)))*IF(LEFT(A63,LEN(A63)-10)="4", 1.5^D25, 1)+((LEFT(A64,LEN(A64)-10)-3)*0.25+1)*B64*IF(B46="NONE",1,IF(B46="ALL",(1+LEFT(A64,LEN(A64)-10)*0.06),(1+LEFT(A64,LEN(A64)-10)*0.06*B46)))*IF(LEFT(A64,LEN(A64)-10)="4", 1.5^D25, 1)+((LEFT(A65,LEN(A65)-10)-3)*0.25+1)*B65*IF(B46="NONE",1,IF(B46="ALL",(1+LEFT(A65,LEN(A65)-10)*0.06),(1+LEFT(A65,LEN(A65)-10)*0.06*B46)))*IF(LEFT(A65,LEN(A65)-10)="4", 1.5^D25, 1)+((LEFT(A66,LEN(A66)-10)-3)*0.25+1)*B66*IF(B46="NONE",1,IF(B46="ALL",(1+LEFT(A66,LEN(A66)-10)*0.06),(1+LEFT(A66,LEN(A66)-10)*0.06*B46)))*IF(LEFT(A66,LEN(A66)-10)="4", 1.5^D25, 1)+((LEFT(A67,LEN(A67)-10)-3)*0.25+1)*B67*IF(B46="NONE",1,IF(B46="ALL",(1+LEFT(A67,LEN(A67)-10)*0.06),(1+LEFT(A67,LEN(A67)-10)*0.06*B46)))*IF(LEFT(A67,LEN(A67)-10)="4", 1.5^D25, 1)),0)+ROUND(ROUND(IF(AND(D12="WATER",D11=D12),0.1,IF(D12="WATER",1/3,0))*(D33),0)*((SUM(B63:G67)-1)*0.25+1)*IF(OR(D52=D11,D52=D12,D52=D13,D52=D14,D52="ALL"),IF(ISBLANK(B52),1,B52),1)*IF(OR(D53=D11,D53=D12,D53=D13,D53=D14,D53="ALL"),IF(ISBLANK(B53),1,B53),1)*(C60*C49*0.1+1)*IF(OR(D55=D13,D55=D14,D55="ALL",D55="WATER"),IF(ISBLANK(B55),1,B55),1)*(((LEFT(A63,LEN(A63)-10)-3)*0.25+1)*C63*IF(C46="NONE",1,IF(C46="ALL",(1+LEFT(A63,LEN(A63)-10)*0.06),(1+LEFT(A63,LEN(A63)-10)*0.06*C46)))*IF(LEFT(A63,LEN(A63)-10)="4", 1.5^D25, 1)+((LEFT(A64,LEN(A64)-10)-3)*0.25+1)*C64*IF(C46="NONE",1,IF(C46="ALL",(1+LEFT(A64,LEN(A64)-10)*0.06),(1+LEFT(A64,LEN(A64)-10)*0.06*C46)))*IF(LEFT(A64,LEN(A64)-10)="4", 1.5^D25, 1)+((LEFT(A65,LEN(A65)-10)-3)*0.25+1)*C65*IF(C46="NONE",1,IF(C46="ALL",(1+LEFT(A65,LEN(A65)-10)*0.06),(1+LEFT(A65,LEN(A65)-10)*0.06*C46)))*IF(LEFT(A65,LEN(A65)-10)="4", 1.5^D25, 1)+((LEFT(A66,LEN(A66)-10)-3)*0.25+1)*C66*IF(C46="NONE",1,IF(C46="ALL",(1+LEFT(A66,LEN(A66)-10)*0.06),(1+LEFT(A66,LEN(A66)-10)*0.06*C46)))*IF(LEFT(A66,LEN(A66)-10)="4", 1.5^D25, 1)+((LEFT(A67,LEN(A67)-10)-3)*0.25+1)*C67*IF(C46="NONE",1,IF(C46="ALL",(1+LEFT(A67,LEN(A67)-10)*0.06),(1+LEFT(A67,LEN(A67)-10)*0.06*C46)))*IF(LEFT(A67,LEN(A67)-10)="4", 1.5^D25, 1)),0)+ROUND(ROUND(IF(AND(D12="WOOD",D11=D12),0.1,IF(D12="WOOD",1/3,0))*(D33),0)*((SUM(B63:G67)-1)*0.25+1)*IF(OR(D52=D11,D52=D12,D52=D13,D52=D14,D52="ALL"),IF(ISBLANK(B52),1,B52),1)*IF(OR(D53=D11,D53=D12,D53=D13,D53=D14,D53="ALL"),IF(ISBLANK(B53),1,B53),1)*(D60*D49*0.1+1)*IF(OR(D55=D13,D55=D14,D55="ALL",D55="WOOD"),IF(ISBLANK(B55),1,B55),1)*(((LEFT(A63,LEN(A63)-10)-3)*0.25+1)*D63*IF(D46="NONE",1,IF(D46="ALL",(1+LEFT(A63,LEN(A63)-10)*0.06),(1+LEFT(A63,LEN(A63)-10)*0.06*D46)))*IF(LEFT(A63,LEN(A63)-10)="4", 1.5^D25, 1)+((LEFT(A64,LEN(A64)-10)-3)*0.25+1)*D64*IF(D46="NONE",1,IF(D46="ALL",(1+LEFT(A64,LEN(A64)-10)*0.06),(1+LEFT(A64,LEN(A64)-10)*0.06*D46)))*IF(LEFT(A64,LEN(A64)-10)="4", 1.5^D25, 1)+((LEFT(A65,LEN(A65)-10)-3)*0.25+1)*D65*IF(D46="NONE",1,IF(D46="ALL",(1+LEFT(A65,LEN(A65)-10)*0.06),(1+LEFT(A65,LEN(A65)-10)*0.06*D46)))*IF(LEFT(A65,LEN(A65)-10)="4", 1.5^D25, 1)+((LEFT(A66,LEN(A66)-10)-3)*0.25+1)*D66*IF(D46="NONE",1,IF(D46="ALL",(1+LEFT(A66,LEN(A66)-10)*0.06),(1+LEFT(A66,LEN(A66)-10)*0.06*D46)))*IF(LEFT(A66,LEN(A66)-10)="4", 1.5^D25, 1)+((LEFT(A67,LEN(A67)-10)-3)*0.25+1)*D67*IF(D46="NONE",1,IF(D46="ALL",(1+LEFT(A67,LEN(A67)-10)*0.06),(1+LEFT(A67,LEN(A67)-10)*0.06*D46)))*IF(LEFT(A67,LEN(A67)-10)="4", 1.5^D25, 1)),0)+ROUND(ROUND(IF(AND(D12="LIGHT",D11=D12),0.1,IF(D12="LIGHT",1/3,0))*(D33),0)*((SUM(B63:G67)-1)*0.25+1)*IF(OR(D52=D11,D52=D12,D52=D13,D52=D14,D52="ALL"),IF(ISBLANK(B52),1,B52),1)*IF(OR(D53=D11,D53=D12,D53=D13,D53=D14,D53="ALL"),IF(ISBLANK(B53),1,B53),1)*(E60*E49*0.1+1)*IF(OR(D55=D13,D55=D14,D55="ALL",D55="LIGHT"),IF(ISBLANK(B55),1,B55),1)*(((LEFT(A63,LEN(A63)-10)-3)*0.25+1)*E63*IF(E46="NONE",1,IF(E46="ALL",(1+LEFT(A63,LEN(A63)-10)*0.06),(1+LEFT(A63,LEN(A63)-10)*0.06*E46)))*IF(LEFT(A63,LEN(A63)-10)="4", 1.5^D25, 1)+((LEFT(A64,LEN(A64)-10)-3)*0.25+1)*E64*IF(E46="NONE",1,IF(E46="ALL",(1+LEFT(A64,LEN(A64)-10)*0.06),(1+LEFT(A64,LEN(A64)-10)*0.06*E46)))*IF(LEFT(A64,LEN(A64)-10)="4", 1.5^D25, 1)+((LEFT(A65,LEN(A65)-10)-3)*0.25+1)*E65*IF(E46="NONE",1,IF(E46="ALL",(1+LEFT(A65,LEN(A65)-10)*0.06),(1+LEFT(A65,LEN(A65)-10)*0.06*E46)))*IF(LEFT(A65,LEN(A65)-10)="4", 1.5^D25, 1)+((LEFT(A66,LEN(A66)-10)-3)*0.25+1)*E66*IF(E46="NONE",1,IF(E46="ALL",(1+LEFT(A66,LEN(A66)-10)*0.06),(1+LEFT(A66,LEN(A66)-10)*0.06*E46)))*IF(LEFT(A66,LEN(A66)-10)="4", 1.5^D25, 1)+((LEFT(A67,LEN(A67)-10)-3)*0.25+1)*E67*IF(E46="NONE",1,IF(E46="ALL",(1+LEFT(A67,LEN(A67)-10)*0.06),(1+LEFT(A67,LEN(A67)-10)*0.06*E46)))*IF(LEFT(A67,LEN(A67)-10)="4", 1.5^D25, 1)),0)+ROUND(ROUND(IF(AND(D12="DARK",D11=D12),0.1,IF(D12="DARK",1/3,0))*(D33),0)*((SUM(B63:G67)-1)*0.25+1)*IF(OR(D52=D11,D52=D12,D52=D13,D52=D14,D52="ALL"),IF(ISBLANK(B52),1,B52),1)*IF(OR(D53=D11,D53=D12,D53=D13,D53=D14,D53="ALL"),IF(ISBLANK(B53),1,B53),1)*(F60*F49*0.1+1)*IF(OR(D55=D13,D55=D14,D55="ALL",D55="DARK"),IF(ISBLANK(B55),1,B55),1)*(((LEFT(A63,LEN(A63)-10)-3)*0.25+1)*F63*IF(F46="NONE",1,IF(F46="ALL",(1+LEFT(A63,LEN(A63)-10)*0.06),(1+LEFT(A63,LEN(A63)-10)*0.06*F46)))*IF(LEFT(A63,LEN(A63)-10)="4", 1.5^D25, 1)+((LEFT(A64,LEN(A64)-10)-3)*0.25+1)*F64*IF(F46="NONE",1,IF(F46="ALL",(1+LEFT(A64,LEN(A64)-10)*0.06),(1+LEFT(A64,LEN(A64)-10)*0.06*F46)))*IF(LEFT(A64,LEN(A64)-10)="4", 1.5^D25, 1)+((LEFT(A65,LEN(A65)-10)-3)*0.25+1)*F65*IF(F46="NONE",1,IF(F46="ALL",(1+LEFT(A65,LEN(A65)-10)*0.06),(1+LEFT(A65,LEN(A65)-10)*0.06*F46)))*IF(LEFT(A65,LEN(A65)-10)="4", 1.5^D25, 1)+((LEFT(A66,LEN(A66)-10)-3)*0.25+1)*F66*IF(F46="NONE",1,IF(F46="ALL",(1+LEFT(A66,LEN(A66)-10)*0.06),(1+LEFT(A66,LEN(A66)-10)*0.06*F46)))*IF(LEFT(A66,LEN(A66)-10)="4", 1.5^D25, 1)+((LEFT(A67,LEN(A67)-10)-3)*0.25+1)*F67*IF(F46="NONE",1,IF(F46="ALL",(1+LEFT(A67,LEN(A67)-10)*0.06),(1+LEFT(A67,LEN(A67)-10)*0.06*F46)))*IF(LEFT(A67,LEN(A67)-10)="4", 1.5^D25, 1)),0)</f>
        <v>55776</v>
      </c>
      <c r="E74" s="41">
        <f>ROUND(ROUND(IF(AND(E12="FIRE",E11=E12),0.1,IF(E12="FIRE",1/3,0))*(E33),0)*((SUM(B63:G67)-1)*0.25+1)*IF(OR(D52=E11,D52=E12,D52=E13,D52=E14,D52="ALL"),IF(ISBLANK(B52),1,B52),1)*IF(OR(D53=E11,D53=E12,D53=E13,D53=E14,D53="ALL"),IF(ISBLANK(B53),1,B53),1)*(B60*B49*0.1+1)*IF(OR(D55=E13,D55=E14,D55="ALL",D55="FIRE"),IF(ISBLANK(B55),1,B55),1)*(((LEFT(A63,LEN(A63)-10)-3)*0.25+1)*B63*IF(B46="NONE",1,IF(B46="ALL",(1+LEFT(A63,LEN(A63)-10)*0.06),(1+LEFT(A63,LEN(A63)-10)*0.06*B46)))*IF(LEFT(A63,LEN(A63)-10)="4", 1.5^E25, 1)+((LEFT(A64,LEN(A64)-10)-3)*0.25+1)*B64*IF(B46="NONE",1,IF(B46="ALL",(1+LEFT(A64,LEN(A64)-10)*0.06),(1+LEFT(A64,LEN(A64)-10)*0.06*B46)))*IF(LEFT(A64,LEN(A64)-10)="4", 1.5^E25, 1)+((LEFT(A65,LEN(A65)-10)-3)*0.25+1)*B65*IF(B46="NONE",1,IF(B46="ALL",(1+LEFT(A65,LEN(A65)-10)*0.06),(1+LEFT(A65,LEN(A65)-10)*0.06*B46)))*IF(LEFT(A65,LEN(A65)-10)="4", 1.5^E25, 1)+((LEFT(A66,LEN(A66)-10)-3)*0.25+1)*B66*IF(B46="NONE",1,IF(B46="ALL",(1+LEFT(A66,LEN(A66)-10)*0.06),(1+LEFT(A66,LEN(A66)-10)*0.06*B46)))*IF(LEFT(A66,LEN(A66)-10)="4", 1.5^E25, 1)+((LEFT(A67,LEN(A67)-10)-3)*0.25+1)*B67*IF(B46="NONE",1,IF(B46="ALL",(1+LEFT(A67,LEN(A67)-10)*0.06),(1+LEFT(A67,LEN(A67)-10)*0.06*B46)))*IF(LEFT(A67,LEN(A67)-10)="4", 1.5^E25, 1)),0)+ROUND(ROUND(IF(AND(E12="WATER",E11=E12),0.1,IF(E12="WATER",1/3,0))*(E33),0)*((SUM(B63:G67)-1)*0.25+1)*IF(OR(D52=E11,D52=E12,D52=E13,D52=E14,D52="ALL"),IF(ISBLANK(B52),1,B52),1)*IF(OR(D53=E11,D53=E12,D53=E13,D53=E14,D53="ALL"),IF(ISBLANK(B53),1,B53),1)*(C60*C49*0.1+1)*IF(OR(D55=E13,D55=E14,D55="ALL",D55="WATER"),IF(ISBLANK(B55),1,B55),1)*(((LEFT(A63,LEN(A63)-10)-3)*0.25+1)*C63*IF(C46="NONE",1,IF(C46="ALL",(1+LEFT(A63,LEN(A63)-10)*0.06),(1+LEFT(A63,LEN(A63)-10)*0.06*C46)))*IF(LEFT(A63,LEN(A63)-10)="4", 1.5^E25, 1)+((LEFT(A64,LEN(A64)-10)-3)*0.25+1)*C64*IF(C46="NONE",1,IF(C46="ALL",(1+LEFT(A64,LEN(A64)-10)*0.06),(1+LEFT(A64,LEN(A64)-10)*0.06*C46)))*IF(LEFT(A64,LEN(A64)-10)="4", 1.5^E25, 1)+((LEFT(A65,LEN(A65)-10)-3)*0.25+1)*C65*IF(C46="NONE",1,IF(C46="ALL",(1+LEFT(A65,LEN(A65)-10)*0.06),(1+LEFT(A65,LEN(A65)-10)*0.06*C46)))*IF(LEFT(A65,LEN(A65)-10)="4", 1.5^E25, 1)+((LEFT(A66,LEN(A66)-10)-3)*0.25+1)*C66*IF(C46="NONE",1,IF(C46="ALL",(1+LEFT(A66,LEN(A66)-10)*0.06),(1+LEFT(A66,LEN(A66)-10)*0.06*C46)))*IF(LEFT(A66,LEN(A66)-10)="4", 1.5^E25, 1)+((LEFT(A67,LEN(A67)-10)-3)*0.25+1)*C67*IF(C46="NONE",1,IF(C46="ALL",(1+LEFT(A67,LEN(A67)-10)*0.06),(1+LEFT(A67,LEN(A67)-10)*0.06*C46)))*IF(LEFT(A67,LEN(A67)-10)="4", 1.5^E25, 1)),0)+ROUND(ROUND(IF(AND(E12="WOOD",E11=E12),0.1,IF(E12="WOOD",1/3,0))*(E33),0)*((SUM(B63:G67)-1)*0.25+1)*IF(OR(D52=E11,D52=E12,D52=E13,D52=E14,D52="ALL"),IF(ISBLANK(B52),1,B52),1)*IF(OR(D53=E11,D53=E12,D53=E13,D53=E14,D53="ALL"),IF(ISBLANK(B53),1,B53),1)*(D60*D49*0.1+1)*IF(OR(D55=E13,D55=E14,D55="ALL",D55="WOOD"),IF(ISBLANK(B55),1,B55),1)*(((LEFT(A63,LEN(A63)-10)-3)*0.25+1)*D63*IF(D46="NONE",1,IF(D46="ALL",(1+LEFT(A63,LEN(A63)-10)*0.06),(1+LEFT(A63,LEN(A63)-10)*0.06*D46)))*IF(LEFT(A63,LEN(A63)-10)="4", 1.5^E25, 1)+((LEFT(A64,LEN(A64)-10)-3)*0.25+1)*D64*IF(D46="NONE",1,IF(D46="ALL",(1+LEFT(A64,LEN(A64)-10)*0.06),(1+LEFT(A64,LEN(A64)-10)*0.06*D46)))*IF(LEFT(A64,LEN(A64)-10)="4", 1.5^E25, 1)+((LEFT(A65,LEN(A65)-10)-3)*0.25+1)*D65*IF(D46="NONE",1,IF(D46="ALL",(1+LEFT(A65,LEN(A65)-10)*0.06),(1+LEFT(A65,LEN(A65)-10)*0.06*D46)))*IF(LEFT(A65,LEN(A65)-10)="4", 1.5^E25, 1)+((LEFT(A66,LEN(A66)-10)-3)*0.25+1)*D66*IF(D46="NONE",1,IF(D46="ALL",(1+LEFT(A66,LEN(A66)-10)*0.06),(1+LEFT(A66,LEN(A66)-10)*0.06*D46)))*IF(LEFT(A66,LEN(A66)-10)="4", 1.5^E25, 1)+((LEFT(A67,LEN(A67)-10)-3)*0.25+1)*D67*IF(D46="NONE",1,IF(D46="ALL",(1+LEFT(A67,LEN(A67)-10)*0.06),(1+LEFT(A67,LEN(A67)-10)*0.06*D46)))*IF(LEFT(A67,LEN(A67)-10)="4", 1.5^E25, 1)),0)+ROUND(ROUND(IF(AND(E12="LIGHT",E11=E12),0.1,IF(E12="LIGHT",1/3,0))*(E33),0)*((SUM(B63:G67)-1)*0.25+1)*IF(OR(D52=E11,D52=E12,D52=E13,D52=E14,D52="ALL"),IF(ISBLANK(B52),1,B52),1)*IF(OR(D53=E11,D53=E12,D53=E13,D53=E14,D53="ALL"),IF(ISBLANK(B53),1,B53),1)*(E60*E49*0.1+1)*IF(OR(D55=E13,D55=E14,D55="ALL",D55="LIGHT"),IF(ISBLANK(B55),1,B55),1)*(((LEFT(A63,LEN(A63)-10)-3)*0.25+1)*E63*IF(E46="NONE",1,IF(E46="ALL",(1+LEFT(A63,LEN(A63)-10)*0.06),(1+LEFT(A63,LEN(A63)-10)*0.06*E46)))*IF(LEFT(A63,LEN(A63)-10)="4", 1.5^E25, 1)+((LEFT(A64,LEN(A64)-10)-3)*0.25+1)*E64*IF(E46="NONE",1,IF(E46="ALL",(1+LEFT(A64,LEN(A64)-10)*0.06),(1+LEFT(A64,LEN(A64)-10)*0.06*E46)))*IF(LEFT(A64,LEN(A64)-10)="4", 1.5^E25, 1)+((LEFT(A65,LEN(A65)-10)-3)*0.25+1)*E65*IF(E46="NONE",1,IF(E46="ALL",(1+LEFT(A65,LEN(A65)-10)*0.06),(1+LEFT(A65,LEN(A65)-10)*0.06*E46)))*IF(LEFT(A65,LEN(A65)-10)="4", 1.5^E25, 1)+((LEFT(A66,LEN(A66)-10)-3)*0.25+1)*E66*IF(E46="NONE",1,IF(E46="ALL",(1+LEFT(A66,LEN(A66)-10)*0.06),(1+LEFT(A66,LEN(A66)-10)*0.06*E46)))*IF(LEFT(A66,LEN(A66)-10)="4", 1.5^E25, 1)+((LEFT(A67,LEN(A67)-10)-3)*0.25+1)*E67*IF(E46="NONE",1,IF(E46="ALL",(1+LEFT(A67,LEN(A67)-10)*0.06),(1+LEFT(A67,LEN(A67)-10)*0.06*E46)))*IF(LEFT(A67,LEN(A67)-10)="4", 1.5^E25, 1)),0)+ROUND(ROUND(IF(AND(E12="DARK",E11=E12),0.1,IF(E12="DARK",1/3,0))*(E33),0)*((SUM(B63:G67)-1)*0.25+1)*IF(OR(D52=E11,D52=E12,D52=E13,D52=E14,D52="ALL"),IF(ISBLANK(B52),1,B52),1)*IF(OR(D53=E11,D53=E12,D53=E13,D53=E14,D53="ALL"),IF(ISBLANK(B53),1,B53),1)*(F60*F49*0.1+1)*IF(OR(D55=E13,D55=E14,D55="ALL",D55="DARK"),IF(ISBLANK(B55),1,B55),1)*(((LEFT(A63,LEN(A63)-10)-3)*0.25+1)*F63*IF(F46="NONE",1,IF(F46="ALL",(1+LEFT(A63,LEN(A63)-10)*0.06),(1+LEFT(A63,LEN(A63)-10)*0.06*F46)))*IF(LEFT(A63,LEN(A63)-10)="4", 1.5^E25, 1)+((LEFT(A64,LEN(A64)-10)-3)*0.25+1)*F64*IF(F46="NONE",1,IF(F46="ALL",(1+LEFT(A64,LEN(A64)-10)*0.06),(1+LEFT(A64,LEN(A64)-10)*0.06*F46)))*IF(LEFT(A64,LEN(A64)-10)="4", 1.5^E25, 1)+((LEFT(A65,LEN(A65)-10)-3)*0.25+1)*F65*IF(F46="NONE",1,IF(F46="ALL",(1+LEFT(A65,LEN(A65)-10)*0.06),(1+LEFT(A65,LEN(A65)-10)*0.06*F46)))*IF(LEFT(A65,LEN(A65)-10)="4", 1.5^E25, 1)+((LEFT(A66,LEN(A66)-10)-3)*0.25+1)*F66*IF(F46="NONE",1,IF(F46="ALL",(1+LEFT(A66,LEN(A66)-10)*0.06),(1+LEFT(A66,LEN(A66)-10)*0.06*F46)))*IF(LEFT(A66,LEN(A66)-10)="4", 1.5^E25, 1)+((LEFT(A67,LEN(A67)-10)-3)*0.25+1)*F67*IF(F46="NONE",1,IF(F46="ALL",(1+LEFT(A67,LEN(A67)-10)*0.06),(1+LEFT(A67,LEN(A67)-10)*0.06*F46)))*IF(LEFT(A67,LEN(A67)-10)="4", 1.5^E25, 1)),0)</f>
        <v>55776</v>
      </c>
      <c r="F74" s="41">
        <f>ROUND(ROUND(IF(AND(F12="FIRE",F11=F12),0.1,IF(F12="FIRE",1/3,0))*(F33),0)*((SUM(B63:G67)-1)*0.25+1)*IF(OR(D52=F11,D52=F12,D52=F13,D52=F14,D52="ALL"),IF(ISBLANK(B52),1,B52),1)*IF(OR(D53=F11,D53=F12,D53=F13,D53=F14,D53="ALL"),IF(ISBLANK(B53),1,B53),1)*(B60*B49*0.1+1)*IF(OR(D55=F13,D55=F14,D55="ALL",D55="FIRE"),IF(ISBLANK(B55),1,B55),1)*(((LEFT(A63,LEN(A63)-10)-3)*0.25+1)*B63*IF(B46="NONE",1,IF(B46="ALL",(1+LEFT(A63,LEN(A63)-10)*0.06),(1+LEFT(A63,LEN(A63)-10)*0.06*B46)))*IF(LEFT(A63,LEN(A63)-10)="4", 1.5^F25, 1)+((LEFT(A64,LEN(A64)-10)-3)*0.25+1)*B64*IF(B46="NONE",1,IF(B46="ALL",(1+LEFT(A64,LEN(A64)-10)*0.06),(1+LEFT(A64,LEN(A64)-10)*0.06*B46)))*IF(LEFT(A64,LEN(A64)-10)="4", 1.5^F25, 1)+((LEFT(A65,LEN(A65)-10)-3)*0.25+1)*B65*IF(B46="NONE",1,IF(B46="ALL",(1+LEFT(A65,LEN(A65)-10)*0.06),(1+LEFT(A65,LEN(A65)-10)*0.06*B46)))*IF(LEFT(A65,LEN(A65)-10)="4", 1.5^F25, 1)+((LEFT(A66,LEN(A66)-10)-3)*0.25+1)*B66*IF(B46="NONE",1,IF(B46="ALL",(1+LEFT(A66,LEN(A66)-10)*0.06),(1+LEFT(A66,LEN(A66)-10)*0.06*B46)))*IF(LEFT(A66,LEN(A66)-10)="4", 1.5^F25, 1)+((LEFT(A67,LEN(A67)-10)-3)*0.25+1)*B67*IF(B46="NONE",1,IF(B46="ALL",(1+LEFT(A67,LEN(A67)-10)*0.06),(1+LEFT(A67,LEN(A67)-10)*0.06*B46)))*IF(LEFT(A67,LEN(A67)-10)="4", 1.5^F25, 1)),0)+ROUND(ROUND(IF(AND(F12="WATER",F11=F12),0.1,IF(F12="WATER",1/3,0))*(F33),0)*((SUM(B63:G67)-1)*0.25+1)*IF(OR(D52=F11,D52=F12,D52=F13,D52=F14,D52="ALL"),IF(ISBLANK(B52),1,B52),1)*IF(OR(D53=F11,D53=F12,D53=F13,D53=F14,D53="ALL"),IF(ISBLANK(B53),1,B53),1)*(C60*C49*0.1+1)*IF(OR(D55=F13,D55=F14,D55="ALL",D55="WATER"),IF(ISBLANK(B55),1,B55),1)*(((LEFT(A63,LEN(A63)-10)-3)*0.25+1)*C63*IF(C46="NONE",1,IF(C46="ALL",(1+LEFT(A63,LEN(A63)-10)*0.06),(1+LEFT(A63,LEN(A63)-10)*0.06*C46)))*IF(LEFT(A63,LEN(A63)-10)="4", 1.5^F25, 1)+((LEFT(A64,LEN(A64)-10)-3)*0.25+1)*C64*IF(C46="NONE",1,IF(C46="ALL",(1+LEFT(A64,LEN(A64)-10)*0.06),(1+LEFT(A64,LEN(A64)-10)*0.06*C46)))*IF(LEFT(A64,LEN(A64)-10)="4", 1.5^F25, 1)+((LEFT(A65,LEN(A65)-10)-3)*0.25+1)*C65*IF(C46="NONE",1,IF(C46="ALL",(1+LEFT(A65,LEN(A65)-10)*0.06),(1+LEFT(A65,LEN(A65)-10)*0.06*C46)))*IF(LEFT(A65,LEN(A65)-10)="4", 1.5^F25, 1)+((LEFT(A66,LEN(A66)-10)-3)*0.25+1)*C66*IF(C46="NONE",1,IF(C46="ALL",(1+LEFT(A66,LEN(A66)-10)*0.06),(1+LEFT(A66,LEN(A66)-10)*0.06*C46)))*IF(LEFT(A66,LEN(A66)-10)="4", 1.5^F25, 1)+((LEFT(A67,LEN(A67)-10)-3)*0.25+1)*C67*IF(C46="NONE",1,IF(C46="ALL",(1+LEFT(A67,LEN(A67)-10)*0.06),(1+LEFT(A67,LEN(A67)-10)*0.06*C46)))*IF(LEFT(A67,LEN(A67)-10)="4", 1.5^F25, 1)),0)+ROUND(ROUND(IF(AND(F12="WOOD",F11=F12),0.1,IF(F12="WOOD",1/3,0))*(F33),0)*((SUM(B63:G67)-1)*0.25+1)*IF(OR(D52=F11,D52=F12,D52=F13,D52=F14,D52="ALL"),IF(ISBLANK(B52),1,B52),1)*IF(OR(D53=F11,D53=F12,D53=F13,D53=F14,D53="ALL"),IF(ISBLANK(B53),1,B53),1)*(D60*D49*0.1+1)*IF(OR(D55=F13,D55=F14,D55="ALL",D55="WOOD"),IF(ISBLANK(B55),1,B55),1)*(((LEFT(A63,LEN(A63)-10)-3)*0.25+1)*D63*IF(D46="NONE",1,IF(D46="ALL",(1+LEFT(A63,LEN(A63)-10)*0.06),(1+LEFT(A63,LEN(A63)-10)*0.06*D46)))*IF(LEFT(A63,LEN(A63)-10)="4", 1.5^F25, 1)+((LEFT(A64,LEN(A64)-10)-3)*0.25+1)*D64*IF(D46="NONE",1,IF(D46="ALL",(1+LEFT(A64,LEN(A64)-10)*0.06),(1+LEFT(A64,LEN(A64)-10)*0.06*D46)))*IF(LEFT(A64,LEN(A64)-10)="4", 1.5^F25, 1)+((LEFT(A65,LEN(A65)-10)-3)*0.25+1)*D65*IF(D46="NONE",1,IF(D46="ALL",(1+LEFT(A65,LEN(A65)-10)*0.06),(1+LEFT(A65,LEN(A65)-10)*0.06*D46)))*IF(LEFT(A65,LEN(A65)-10)="4", 1.5^F25, 1)+((LEFT(A66,LEN(A66)-10)-3)*0.25+1)*D66*IF(D46="NONE",1,IF(D46="ALL",(1+LEFT(A66,LEN(A66)-10)*0.06),(1+LEFT(A66,LEN(A66)-10)*0.06*D46)))*IF(LEFT(A66,LEN(A66)-10)="4", 1.5^F25, 1)+((LEFT(A67,LEN(A67)-10)-3)*0.25+1)*D67*IF(D46="NONE",1,IF(D46="ALL",(1+LEFT(A67,LEN(A67)-10)*0.06),(1+LEFT(A67,LEN(A67)-10)*0.06*D46)))*IF(LEFT(A67,LEN(A67)-10)="4", 1.5^F25, 1)),0)+ROUND(ROUND(IF(AND(F12="LIGHT",F11=F12),0.1,IF(F12="LIGHT",1/3,0))*(F33),0)*((SUM(B63:G67)-1)*0.25+1)*IF(OR(D52=F11,D52=F12,D52=F13,D52=F14,D52="ALL"),IF(ISBLANK(B52),1,B52),1)*IF(OR(D53=F11,D53=F12,D53=F13,D53=F14,D53="ALL"),IF(ISBLANK(B53),1,B53),1)*(E60*E49*0.1+1)*IF(OR(D55=F13,D55=F14,D55="ALL",D55="LIGHT"),IF(ISBLANK(B55),1,B55),1)*(((LEFT(A63,LEN(A63)-10)-3)*0.25+1)*E63*IF(E46="NONE",1,IF(E46="ALL",(1+LEFT(A63,LEN(A63)-10)*0.06),(1+LEFT(A63,LEN(A63)-10)*0.06*E46)))*IF(LEFT(A63,LEN(A63)-10)="4", 1.5^F25, 1)+((LEFT(A64,LEN(A64)-10)-3)*0.25+1)*E64*IF(E46="NONE",1,IF(E46="ALL",(1+LEFT(A64,LEN(A64)-10)*0.06),(1+LEFT(A64,LEN(A64)-10)*0.06*E46)))*IF(LEFT(A64,LEN(A64)-10)="4", 1.5^F25, 1)+((LEFT(A65,LEN(A65)-10)-3)*0.25+1)*E65*IF(E46="NONE",1,IF(E46="ALL",(1+LEFT(A65,LEN(A65)-10)*0.06),(1+LEFT(A65,LEN(A65)-10)*0.06*E46)))*IF(LEFT(A65,LEN(A65)-10)="4", 1.5^F25, 1)+((LEFT(A66,LEN(A66)-10)-3)*0.25+1)*E66*IF(E46="NONE",1,IF(E46="ALL",(1+LEFT(A66,LEN(A66)-10)*0.06),(1+LEFT(A66,LEN(A66)-10)*0.06*E46)))*IF(LEFT(A66,LEN(A66)-10)="4", 1.5^F25, 1)+((LEFT(A67,LEN(A67)-10)-3)*0.25+1)*E67*IF(E46="NONE",1,IF(E46="ALL",(1+LEFT(A67,LEN(A67)-10)*0.06),(1+LEFT(A67,LEN(A67)-10)*0.06*E46)))*IF(LEFT(A67,LEN(A67)-10)="4", 1.5^F25, 1)),0)+ROUND(ROUND(IF(AND(F12="DARK",F11=F12),0.1,IF(F12="DARK",1/3,0))*(F33),0)*((SUM(B63:G67)-1)*0.25+1)*IF(OR(D52=F11,D52=F12,D52=F13,D52=F14,D52="ALL"),IF(ISBLANK(B52),1,B52),1)*IF(OR(D53=F11,D53=F12,D53=F13,D53=F14,D53="ALL"),IF(ISBLANK(B53),1,B53),1)*(F60*F49*0.1+1)*IF(OR(D55=F13,D55=F14,D55="ALL",D55="DARK"),IF(ISBLANK(B55),1,B55),1)*(((LEFT(A63,LEN(A63)-10)-3)*0.25+1)*F63*IF(F46="NONE",1,IF(F46="ALL",(1+LEFT(A63,LEN(A63)-10)*0.06),(1+LEFT(A63,LEN(A63)-10)*0.06*F46)))*IF(LEFT(A63,LEN(A63)-10)="4", 1.5^F25, 1)+((LEFT(A64,LEN(A64)-10)-3)*0.25+1)*F64*IF(F46="NONE",1,IF(F46="ALL",(1+LEFT(A64,LEN(A64)-10)*0.06),(1+LEFT(A64,LEN(A64)-10)*0.06*F46)))*IF(LEFT(A64,LEN(A64)-10)="4", 1.5^F25, 1)+((LEFT(A65,LEN(A65)-10)-3)*0.25+1)*F65*IF(F46="NONE",1,IF(F46="ALL",(1+LEFT(A65,LEN(A65)-10)*0.06),(1+LEFT(A65,LEN(A65)-10)*0.06*F46)))*IF(LEFT(A65,LEN(A65)-10)="4", 1.5^F25, 1)+((LEFT(A66,LEN(A66)-10)-3)*0.25+1)*F66*IF(F46="NONE",1,IF(F46="ALL",(1+LEFT(A66,LEN(A66)-10)*0.06),(1+LEFT(A66,LEN(A66)-10)*0.06*F46)))*IF(LEFT(A66,LEN(A66)-10)="4", 1.5^F25, 1)+((LEFT(A67,LEN(A67)-10)-3)*0.25+1)*F67*IF(F46="NONE",1,IF(F46="ALL",(1+LEFT(A67,LEN(A67)-10)*0.06),(1+LEFT(A67,LEN(A67)-10)*0.06*F46)))*IF(LEFT(A67,LEN(A67)-10)="4", 1.5^F25, 1)),0)</f>
        <v>0</v>
      </c>
      <c r="G74" s="41">
        <f>ROUND(ROUND(IF(AND(G12="FIRE",G11=G12),0.1,IF(G12="FIRE",1/3,0))*(G33),0)*((SUM(B63:G67)-1)*0.25+1)*IF(OR(D52=G11,D52=G12,D52=G13,D52=G14,D52="ALL"),IF(ISBLANK(B52),1,B52),1)*IF(OR(D53=G11,D53=G12,D53=G13,D53=G14,D53="ALL"),IF(ISBLANK(B53),1,B53),1)*(B60*B49*0.1+1)*IF(OR(D55=G13,D55=G14,D55="ALL",D55="FIRE"),IF(ISBLANK(B55),1,B55),1)*(((LEFT(A63,LEN(A63)-10)-3)*0.25+1)*B63*IF(B46="NONE",1,IF(B46="ALL",(1+LEFT(A63,LEN(A63)-10)*0.06),(1+LEFT(A63,LEN(A63)-10)*0.06*B46)))*IF(LEFT(A63,LEN(A63)-10)="4", 1.5^G25, 1)+((LEFT(A64,LEN(A64)-10)-3)*0.25+1)*B64*IF(B46="NONE",1,IF(B46="ALL",(1+LEFT(A64,LEN(A64)-10)*0.06),(1+LEFT(A64,LEN(A64)-10)*0.06*B46)))*IF(LEFT(A64,LEN(A64)-10)="4", 1.5^G25, 1)+((LEFT(A65,LEN(A65)-10)-3)*0.25+1)*B65*IF(B46="NONE",1,IF(B46="ALL",(1+LEFT(A65,LEN(A65)-10)*0.06),(1+LEFT(A65,LEN(A65)-10)*0.06*B46)))*IF(LEFT(A65,LEN(A65)-10)="4", 1.5^G25, 1)+((LEFT(A66,LEN(A66)-10)-3)*0.25+1)*B66*IF(B46="NONE",1,IF(B46="ALL",(1+LEFT(A66,LEN(A66)-10)*0.06),(1+LEFT(A66,LEN(A66)-10)*0.06*B46)))*IF(LEFT(A66,LEN(A66)-10)="4", 1.5^G25, 1)+((LEFT(A67,LEN(A67)-10)-3)*0.25+1)*B67*IF(B46="NONE",1,IF(B46="ALL",(1+LEFT(A67,LEN(A67)-10)*0.06),(1+LEFT(A67,LEN(A67)-10)*0.06*B46)))*IF(LEFT(A67,LEN(A67)-10)="4", 1.5^G25, 1)),0)+ROUND(ROUND(IF(AND(G12="WATER",G11=G12),0.1,IF(G12="WATER",1/3,0))*(G33),0)*((SUM(B63:G67)-1)*0.25+1)*IF(OR(D52=G11,D52=G12,D52=G13,D52=G14,D52="ALL"),IF(ISBLANK(B52),1,B52),1)*IF(OR(D53=G11,D53=G12,D53=G13,D53=G14,D53="ALL"),IF(ISBLANK(B53),1,B53),1)*(C60*C49*0.1+1)*IF(OR(D55=G13,D55=G14,D55="ALL",D55="WATER"),IF(ISBLANK(B55),1,B55),1)*(((LEFT(A63,LEN(A63)-10)-3)*0.25+1)*C63*IF(C46="NONE",1,IF(C46="ALL",(1+LEFT(A63,LEN(A63)-10)*0.06),(1+LEFT(A63,LEN(A63)-10)*0.06*C46)))*IF(LEFT(A63,LEN(A63)-10)="4", 1.5^G25, 1)+((LEFT(A64,LEN(A64)-10)-3)*0.25+1)*C64*IF(C46="NONE",1,IF(C46="ALL",(1+LEFT(A64,LEN(A64)-10)*0.06),(1+LEFT(A64,LEN(A64)-10)*0.06*C46)))*IF(LEFT(A64,LEN(A64)-10)="4", 1.5^G25, 1)+((LEFT(A65,LEN(A65)-10)-3)*0.25+1)*C65*IF(C46="NONE",1,IF(C46="ALL",(1+LEFT(A65,LEN(A65)-10)*0.06),(1+LEFT(A65,LEN(A65)-10)*0.06*C46)))*IF(LEFT(A65,LEN(A65)-10)="4", 1.5^G25, 1)+((LEFT(A66,LEN(A66)-10)-3)*0.25+1)*C66*IF(C46="NONE",1,IF(C46="ALL",(1+LEFT(A66,LEN(A66)-10)*0.06),(1+LEFT(A66,LEN(A66)-10)*0.06*C46)))*IF(LEFT(A66,LEN(A66)-10)="4", 1.5^G25, 1)+((LEFT(A67,LEN(A67)-10)-3)*0.25+1)*C67*IF(C46="NONE",1,IF(C46="ALL",(1+LEFT(A67,LEN(A67)-10)*0.06),(1+LEFT(A67,LEN(A67)-10)*0.06*C46)))*IF(LEFT(A67,LEN(A67)-10)="4", 1.5^G25, 1)),0)+ROUND(ROUND(IF(AND(G12="WOOD",G11=G12),0.1,IF(G12="WOOD",1/3,0))*(G33),0)*((SUM(B63:G67)-1)*0.25+1)*IF(OR(D52=G11,D52=G12,D52=G13,D52=G14,D52="ALL"),IF(ISBLANK(B52),1,B52),1)*IF(OR(D53=G11,D53=G12,D53=G13,D53=G14,D53="ALL"),IF(ISBLANK(B53),1,B53),1)*(D60*D49*0.1+1)*IF(OR(D55=G13,D55=G14,D55="ALL",D55="WOOD"),IF(ISBLANK(B55),1,B55),1)*(((LEFT(A63,LEN(A63)-10)-3)*0.25+1)*D63*IF(D46="NONE",1,IF(D46="ALL",(1+LEFT(A63,LEN(A63)-10)*0.06),(1+LEFT(A63,LEN(A63)-10)*0.06*D46)))*IF(LEFT(A63,LEN(A63)-10)="4", 1.5^G25, 1)+((LEFT(A64,LEN(A64)-10)-3)*0.25+1)*D64*IF(D46="NONE",1,IF(D46="ALL",(1+LEFT(A64,LEN(A64)-10)*0.06),(1+LEFT(A64,LEN(A64)-10)*0.06*D46)))*IF(LEFT(A64,LEN(A64)-10)="4", 1.5^G25, 1)+((LEFT(A65,LEN(A65)-10)-3)*0.25+1)*D65*IF(D46="NONE",1,IF(D46="ALL",(1+LEFT(A65,LEN(A65)-10)*0.06),(1+LEFT(A65,LEN(A65)-10)*0.06*D46)))*IF(LEFT(A65,LEN(A65)-10)="4", 1.5^G25, 1)+((LEFT(A66,LEN(A66)-10)-3)*0.25+1)*D66*IF(D46="NONE",1,IF(D46="ALL",(1+LEFT(A66,LEN(A66)-10)*0.06),(1+LEFT(A66,LEN(A66)-10)*0.06*D46)))*IF(LEFT(A66,LEN(A66)-10)="4", 1.5^G25, 1)+((LEFT(A67,LEN(A67)-10)-3)*0.25+1)*D67*IF(D46="NONE",1,IF(D46="ALL",(1+LEFT(A67,LEN(A67)-10)*0.06),(1+LEFT(A67,LEN(A67)-10)*0.06*D46)))*IF(LEFT(A67,LEN(A67)-10)="4", 1.5^G25, 1)),0)+ROUND(ROUND(IF(AND(G12="LIGHT",G11=G12),0.1,IF(G12="LIGHT",1/3,0))*(G33),0)*((SUM(B63:G67)-1)*0.25+1)*IF(OR(D52=G11,D52=G12,D52=G13,D52=G14,D52="ALL"),IF(ISBLANK(B52),1,B52),1)*IF(OR(D53=G11,D53=G12,D53=G13,D53=G14,D53="ALL"),IF(ISBLANK(B53),1,B53),1)*(E60*E49*0.1+1)*IF(OR(D55=G13,D55=G14,D55="ALL",D55="LIGHT"),IF(ISBLANK(B55),1,B55),1)*(((LEFT(A63,LEN(A63)-10)-3)*0.25+1)*E63*IF(E46="NONE",1,IF(E46="ALL",(1+LEFT(A63,LEN(A63)-10)*0.06),(1+LEFT(A63,LEN(A63)-10)*0.06*E46)))*IF(LEFT(A63,LEN(A63)-10)="4", 1.5^G25, 1)+((LEFT(A64,LEN(A64)-10)-3)*0.25+1)*E64*IF(E46="NONE",1,IF(E46="ALL",(1+LEFT(A64,LEN(A64)-10)*0.06),(1+LEFT(A64,LEN(A64)-10)*0.06*E46)))*IF(LEFT(A64,LEN(A64)-10)="4", 1.5^G25, 1)+((LEFT(A65,LEN(A65)-10)-3)*0.25+1)*E65*IF(E46="NONE",1,IF(E46="ALL",(1+LEFT(A65,LEN(A65)-10)*0.06),(1+LEFT(A65,LEN(A65)-10)*0.06*E46)))*IF(LEFT(A65,LEN(A65)-10)="4", 1.5^G25, 1)+((LEFT(A66,LEN(A66)-10)-3)*0.25+1)*E66*IF(E46="NONE",1,IF(E46="ALL",(1+LEFT(A66,LEN(A66)-10)*0.06),(1+LEFT(A66,LEN(A66)-10)*0.06*E46)))*IF(LEFT(A66,LEN(A66)-10)="4", 1.5^G25, 1)+((LEFT(A67,LEN(A67)-10)-3)*0.25+1)*E67*IF(E46="NONE",1,IF(E46="ALL",(1+LEFT(A67,LEN(A67)-10)*0.06),(1+LEFT(A67,LEN(A67)-10)*0.06*E46)))*IF(LEFT(A67,LEN(A67)-10)="4", 1.5^G25, 1)),0)+ROUND(ROUND(IF(AND(G12="DARK",G11=G12),0.1,IF(G12="DARK",1/3,0))*(G33),0)*((SUM(B63:G67)-1)*0.25+1)*IF(OR(D52=G11,D52=G12,D52=G13,D52=G14,D52="ALL"),IF(ISBLANK(B52),1,B52),1)*IF(OR(D53=G11,D53=G12,D53=G13,D53=G14,D53="ALL"),IF(ISBLANK(B53),1,B53),1)*(F60*F49*0.1+1)*IF(OR(D55=G13,D55=G14,D55="ALL",D55="DARK"),IF(ISBLANK(B55),1,B55),1)*(((LEFT(A63,LEN(A63)-10)-3)*0.25+1)*F63*IF(F46="NONE",1,IF(F46="ALL",(1+LEFT(A63,LEN(A63)-10)*0.06),(1+LEFT(A63,LEN(A63)-10)*0.06*F46)))*IF(LEFT(A63,LEN(A63)-10)="4", 1.5^G25, 1)+((LEFT(A64,LEN(A64)-10)-3)*0.25+1)*F64*IF(F46="NONE",1,IF(F46="ALL",(1+LEFT(A64,LEN(A64)-10)*0.06),(1+LEFT(A64,LEN(A64)-10)*0.06*F46)))*IF(LEFT(A64,LEN(A64)-10)="4", 1.5^G25, 1)+((LEFT(A65,LEN(A65)-10)-3)*0.25+1)*F65*IF(F46="NONE",1,IF(F46="ALL",(1+LEFT(A65,LEN(A65)-10)*0.06),(1+LEFT(A65,LEN(A65)-10)*0.06*F46)))*IF(LEFT(A65,LEN(A65)-10)="4", 1.5^G25, 1)+((LEFT(A66,LEN(A66)-10)-3)*0.25+1)*F66*IF(F46="NONE",1,IF(F46="ALL",(1+LEFT(A66,LEN(A66)-10)*0.06),(1+LEFT(A66,LEN(A66)-10)*0.06*F46)))*IF(LEFT(A66,LEN(A66)-10)="4", 1.5^G25, 1)+((LEFT(A67,LEN(A67)-10)-3)*0.25+1)*F67*IF(F46="NONE",1,IF(F46="ALL",(1+LEFT(A67,LEN(A67)-10)*0.06),(1+LEFT(A67,LEN(A67)-10)*0.06*F46)))*IF(LEFT(A67,LEN(A67)-10)="4", 1.5^G25, 1)),0)</f>
        <v>80256</v>
      </c>
    </row>
    <row r="75" spans="1:7" ht="15.75" thickBot="1" x14ac:dyDescent="0.3"/>
    <row r="76" spans="1:7" ht="15.75" thickBot="1" x14ac:dyDescent="0.3">
      <c r="A76" s="166" t="s">
        <v>2150</v>
      </c>
      <c r="B76" s="167"/>
      <c r="C76" s="167"/>
      <c r="D76" s="167"/>
      <c r="E76" s="167"/>
      <c r="F76" s="167"/>
      <c r="G76" s="168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117" t="s">
        <v>86</v>
      </c>
      <c r="B78" s="101" t="s">
        <v>31</v>
      </c>
    </row>
    <row r="79" spans="1:7" x14ac:dyDescent="0.25">
      <c r="A79" s="110" t="s">
        <v>2149</v>
      </c>
      <c r="B79" s="101">
        <v>0</v>
      </c>
    </row>
    <row r="80" spans="1:7" x14ac:dyDescent="0.25">
      <c r="A80" s="92"/>
      <c r="B80" s="88"/>
      <c r="C80" s="3"/>
    </row>
    <row r="81" spans="1:7" ht="30" customHeight="1" x14ac:dyDescent="0.25">
      <c r="A81" s="116" t="s">
        <v>49</v>
      </c>
      <c r="B81" s="46" t="str">
        <f t="shared" ref="B81:G81" si="1">B3</f>
        <v>俊才の臥龍神・諸葛亮</v>
      </c>
      <c r="C81" s="46" t="str">
        <f t="shared" si="1"/>
        <v>Gusting Prodigy, Sasuke</v>
      </c>
      <c r="D81" s="46" t="str">
        <f t="shared" si="1"/>
        <v>Marine Rider, Bard Robin</v>
      </c>
      <c r="E81" s="46" t="str">
        <f t="shared" si="1"/>
        <v>Marine Rider, Bard Robin</v>
      </c>
      <c r="F81" s="46" t="str">
        <f t="shared" si="1"/>
        <v>Moral Commanding Deity, Liu Bei</v>
      </c>
      <c r="G81" s="46" t="str">
        <f t="shared" si="1"/>
        <v>俊才の臥龍神・諸葛亮</v>
      </c>
    </row>
    <row r="82" spans="1:7" x14ac:dyDescent="0.25">
      <c r="A82" s="2" t="s">
        <v>51</v>
      </c>
      <c r="B82" s="41">
        <f>IF(B73=0,0,IF((ROUND(IF(B11="FIRE",1,0)*IF(B78="WOOD",2,IF(B78="WATER",0.5,1))*B73+IF(B11="WATER",1,0)*IF(B78="FIRE",2,IF(B78="WOOD",0.5,1))*B73+IF(B11="WOOD",1,0)*IF(B78="WATER",2,IF(B78="FIRE",0.5,1))*B73+IF(B11="LIGHT",1,0)*IF(B78="DARK",2,1)*B73+IF(B11="DARK",1,0)*IF(B78="LIGHT",2,1)*B73,0)-B79)&lt;1,1,(ROUND(IF(B11="FIRE",1,0)*IF(B78="WOOD",2,IF(B78="WATER",0.5,1))*B73+IF(B11="WATER",1,0)*IF(B78="FIRE",2,IF(B78="WOOD",0.5,1))*B73+IF(B11="WOOD",1,0)*IF(B78="WATER",2,IF(B78="FIRE",0.5,1))*B73+IF(B11="LIGHT",1,0)*IF(B78="DARK",2,1)*B73+IF(B11="DARK",1,0)*IF(B78="LIGHT",2,1)*B73,0)-B79)))</f>
        <v>2709720</v>
      </c>
      <c r="C82" s="41">
        <f>IF(C73=0,0,IF((ROUND(IF(C11="FIRE",1,0)*IF(B78="WOOD",2,IF(B78="WATER",0.5,1))*C73+IF(C11="WATER",1,0)*IF(B78="FIRE",2,IF(B78="WOOD",0.5,1))*C73+IF(C11="WOOD",1,0)*IF(B78="WATER",2,IF(B78="FIRE",0.5,1))*C73+IF(C11="LIGHT",1,0)*IF(B78="DARK",2,1)*C73+IF(C11="DARK",1,0)*IF(B78="LIGHT",2,1)*C73,0)-B79)&lt;1,1,(ROUND(IF(C11="FIRE",1,0)*IF(B78="WOOD",2,IF(B78="WATER",0.5,1))*C73+IF(C11="WATER",1,0)*IF(B78="FIRE",2,IF(B78="WOOD",0.5,1))*C73+IF(C11="WOOD",1,0)*IF(B78="WATER",2,IF(B78="FIRE",0.5,1))*C73+IF(C11="LIGHT",1,0)*IF(B78="DARK",2,1)*C73+IF(C11="DARK",1,0)*IF(B78="LIGHT",2,1)*C73,0)-B79)))</f>
        <v>1357920</v>
      </c>
      <c r="D82" s="41">
        <f>IF(D73=0,0,IF((ROUND(IF(D11="FIRE",1,0)*IF(B78="WOOD",2,IF(B78="WATER",0.5,1))*D73+IF(D11="WATER",1,0)*IF(B78="FIRE",2,IF(B78="WOOD",0.5,1))*D73+IF(D11="WOOD",1,0)*IF(B78="WATER",2,IF(B78="FIRE",0.5,1))*D73+IF(D11="LIGHT",1,0)*IF(B78="DARK",2,1)*D73+IF(D11="DARK",1,0)*IF(B78="LIGHT",2,1)*D73,0)-B79)&lt;1,1,(ROUND(IF(D11="FIRE",1,0)*IF(B78="WOOD",2,IF(B78="WATER",0.5,1))*D73+IF(D11="WATER",1,0)*IF(B78="FIRE",2,IF(B78="WOOD",0.5,1))*D73+IF(D11="WOOD",1,0)*IF(B78="WATER",2,IF(B78="FIRE",0.5,1))*D73+IF(D11="LIGHT",1,0)*IF(B78="DARK",2,1)*D73+IF(D11="DARK",1,0)*IF(B78="LIGHT",2,1)*D73,0)-B79)))</f>
        <v>1881360</v>
      </c>
      <c r="E82" s="41">
        <f>IF(E73=0,0,IF((ROUND(IF(E11="FIRE",1,0)*IF(B78="WOOD",2,IF(B78="WATER",0.5,1))*E73+IF(E11="WATER",1,0)*IF(B78="FIRE",2,IF(B78="WOOD",0.5,1))*E73+IF(E11="WOOD",1,0)*IF(B78="WATER",2,IF(B78="FIRE",0.5,1))*E73+IF(E11="LIGHT",1,0)*IF(B78="DARK",2,1)*E73+IF(E11="DARK",1,0)*IF(B78="LIGHT",2,1)*E73,0)-B79)&lt;1,1,(ROUND(IF(E11="FIRE",1,0)*IF(B78="WOOD",2,IF(B78="WATER",0.5,1))*E73+IF(E11="WATER",1,0)*IF(B78="FIRE",2,IF(B78="WOOD",0.5,1))*E73+IF(E11="WOOD",1,0)*IF(B78="WATER",2,IF(B78="FIRE",0.5,1))*E73+IF(E11="LIGHT",1,0)*IF(B78="DARK",2,1)*E73+IF(E11="DARK",1,0)*IF(B78="LIGHT",2,1)*E73,0)-B79)))</f>
        <v>1881360</v>
      </c>
      <c r="F82" s="41">
        <f>IF(F73=0,0,IF((ROUND(IF(F11="FIRE",1,0)*IF(B78="WOOD",2,IF(B78="WATER",0.5,1))*F73+IF(F11="WATER",1,0)*IF(B78="FIRE",2,IF(B78="WOOD",0.5,1))*F73+IF(F11="WOOD",1,0)*IF(B78="WATER",2,IF(B78="FIRE",0.5,1))*F73+IF(F11="LIGHT",1,0)*IF(B78="DARK",2,1)*F73+IF(F11="DARK",1,0)*IF(B78="LIGHT",2,1)*F73,0)-B79)&lt;1,1,(ROUND(IF(F11="FIRE",1,0)*IF(B78="WOOD",2,IF(B78="WATER",0.5,1))*F73+IF(F11="WATER",1,0)*IF(B78="FIRE",2,IF(B78="WOOD",0.5,1))*F73+IF(F11="WOOD",1,0)*IF(B78="WATER",2,IF(B78="FIRE",0.5,1))*F73+IF(F11="LIGHT",1,0)*IF(B78="DARK",2,1)*F73+IF(F11="DARK",1,0)*IF(B78="LIGHT",2,1)*F73,0)-B79)))</f>
        <v>789600</v>
      </c>
      <c r="G82" s="41">
        <f>IF(G73=0,0,IF((ROUND(IF(G11="FIRE",1,0)*IF(B78="WOOD",2,IF(B78="WATER",0.5,1))*G73+IF(G11="WATER",1,0)*IF(B78="FIRE",2,IF(B78="WOOD",0.5,1))*G73+IF(G11="WOOD",1,0)*IF(B78="WATER",2,IF(B78="FIRE",0.5,1))*G73+IF(G11="LIGHT",1,0)*IF(B78="DARK",2,1)*G73+IF(G11="DARK",1,0)*IF(B78="LIGHT",2,1)*G73,0)-B79)&lt;1,1,(ROUND(IF(G11="FIRE",1,0)*IF(B78="WOOD",2,IF(B78="WATER",0.5,1))*G73+IF(G11="WATER",1,0)*IF(B78="FIRE",2,IF(B78="WOOD",0.5,1))*G73+IF(G11="WOOD",1,0)*IF(B78="WATER",2,IF(B78="FIRE",0.5,1))*G73+IF(G11="LIGHT",1,0)*IF(B78="DARK",2,1)*G73+IF(G11="DARK",1,0)*IF(B78="LIGHT",2,1)*G73,0)-B79)))</f>
        <v>2709720</v>
      </c>
    </row>
    <row r="83" spans="1:7" x14ac:dyDescent="0.25">
      <c r="A83" s="114" t="s">
        <v>50</v>
      </c>
      <c r="B83" s="41">
        <f>IF(B74=0,0,IF(B12="NONE",0,IF((ROUND(IF(B12="FIRE",1,0)*IF(B78="WOOD",2,IF(B78="WATER",0.5,1))*B74+IF(B12="WATER",1,0)*IF(B78="FIRE",2,IF(B78="WOOD",0.5,1))*B74+IF(B12="WOOD",1,0)*IF(B78="WATER",2,IF(B78="FIRE",0.5,1))*B74+IF(B12="LIGHT",1,0)*IF(B78="DARK",2,1)*B74+IF(B12="DARK",1,0)*IF(B78="LIGHT",2,1)*B74,0)-B79)&lt;1,1,(ROUND(IF(B12="FIRE",1,0)*IF(B78="WOOD",2,IF(B78="WATER",0.5,1))*B74+IF(B12="WATER",1,0)*IF(B78="FIRE",2,IF(B78="WOOD",0.5,1))*B74+IF(B12="WOOD",1,0)*IF(B78="WATER",2,IF(B78="FIRE",0.5,1))*B74+IF(B12="LIGHT",1,0)*IF(B78="DARK",2,1)*B74+IF(B12="DARK",1,0)*IF(B78="LIGHT",2,1)*B74,0)-B79))))</f>
        <v>80256</v>
      </c>
      <c r="C83" s="41">
        <f>IF(C74=0,0,IF(C12="NONE",0,IF((ROUND(IF(C12="FIRE",1,0)*IF(B78="WOOD",2,IF(B78="WATER",0.5,1))*C74+IF(C12="WATER",1,0)*IF(B78="FIRE",2,IF(B78="WOOD",0.5,1))*C74+IF(C12="WOOD",1,0)*IF(B78="WATER",2,IF(B78="FIRE",0.5,1))*C74+IF(C12="LIGHT",1,0)*IF(B78="DARK",2,1)*C74+IF(C12="DARK",1,0)*IF(B78="LIGHT",2,1)*C74,0)-B79)&lt;1,1,(ROUND(IF(C12="FIRE",1,0)*IF(B78="WOOD",2,IF(B78="WATER",0.5,1))*C74+IF(C12="WATER",1,0)*IF(B78="FIRE",2,IF(B78="WOOD",0.5,1))*C74+IF(C12="WOOD",1,0)*IF(B78="WATER",2,IF(B78="FIRE",0.5,1))*C74+IF(C12="LIGHT",1,0)*IF(B78="DARK",2,1)*C74+IF(C12="DARK",1,0)*IF(B78="LIGHT",2,1)*C74,0)-B79))))</f>
        <v>136080</v>
      </c>
      <c r="D83" s="41">
        <f>IF(D74=0,0,IF(D12="NONE",0,IF((ROUND(IF(D12="FIRE",1,0)*IF(B78="WOOD",2,IF(B78="WATER",0.5,1))*D74+IF(D12="WATER",1,0)*IF(B78="FIRE",2,IF(B78="WOOD",0.5,1))*D74+IF(D12="WOOD",1,0)*IF(B78="WATER",2,IF(B78="FIRE",0.5,1))*D74+IF(D12="LIGHT",1,0)*IF(B78="DARK",2,1)*D74+IF(D12="DARK",1,0)*IF(B78="LIGHT",2,1)*D74,0)-B79)&lt;1,1,(ROUND(IF(D12="FIRE",1,0)*IF(B78="WOOD",2,IF(B78="WATER",0.5,1))*D74+IF(D12="WATER",1,0)*IF(B78="FIRE",2,IF(B78="WOOD",0.5,1))*D74+IF(D12="WOOD",1,0)*IF(B78="WATER",2,IF(B78="FIRE",0.5,1))*D74+IF(D12="LIGHT",1,0)*IF(B78="DARK",2,1)*D74+IF(D12="DARK",1,0)*IF(B78="LIGHT",2,1)*D74,0)-B79))))</f>
        <v>55776</v>
      </c>
      <c r="E83" s="41">
        <f>IF(E74=0,0,IF(E12="NONE",0,IF((ROUND(IF(E12="FIRE",1,0)*IF(B78="WOOD",2,IF(B78="WATER",0.5,1))*E74+IF(E12="WATER",1,0)*IF(B78="FIRE",2,IF(B78="WOOD",0.5,1))*E74+IF(E12="WOOD",1,0)*IF(B78="WATER",2,IF(B78="FIRE",0.5,1))*E74+IF(E12="LIGHT",1,0)*IF(B78="DARK",2,1)*E74+IF(E12="DARK",1,0)*IF(B78="LIGHT",2,1)*E74,0)-B79)&lt;1,1,(ROUND(IF(E12="FIRE",1,0)*IF(B78="WOOD",2,IF(B78="WATER",0.5,1))*E74+IF(E12="WATER",1,0)*IF(B78="FIRE",2,IF(B78="WOOD",0.5,1))*E74+IF(E12="WOOD",1,0)*IF(B78="WATER",2,IF(B78="FIRE",0.5,1))*E74+IF(E12="LIGHT",1,0)*IF(B78="DARK",2,1)*E74+IF(E12="DARK",1,0)*IF(B78="LIGHT",2,1)*E74,0)-B79))))</f>
        <v>55776</v>
      </c>
      <c r="F83" s="41">
        <f>IF(F74=0,0,IF(F12="NONE",0,IF((ROUND(IF(F12="FIRE",1,0)*IF(B78="WOOD",2,IF(B78="WATER",0.5,1))*F74+IF(F12="WATER",1,0)*IF(B78="FIRE",2,IF(B78="WOOD",0.5,1))*F74+IF(F12="WOOD",1,0)*IF(B78="WATER",2,IF(B78="FIRE",0.5,1))*F74+IF(F12="LIGHT",1,0)*IF(B78="DARK",2,1)*F74+IF(F12="DARK",1,0)*IF(B78="LIGHT",2,1)*F74,0)-B79)&lt;1,1,(ROUND(IF(F12="FIRE",1,0)*IF(B78="WOOD",2,IF(B78="WATER",0.5,1))*F74+IF(F12="WATER",1,0)*IF(B78="FIRE",2,IF(B78="WOOD",0.5,1))*F74+IF(F12="WOOD",1,0)*IF(B78="WATER",2,IF(B78="FIRE",0.5,1))*F74+IF(F12="LIGHT",1,0)*IF(B78="DARK",2,1)*F74+IF(F12="DARK",1,0)*IF(B78="LIGHT",2,1)*F74,0)-B79))))</f>
        <v>0</v>
      </c>
      <c r="G83" s="41">
        <f>IF(G74=0,0,IF(G12="NONE",0,IF((ROUND(IF(G12="FIRE",1,0)*IF(B78="WOOD",2,IF(B78="WATER",0.5,1))*G74+IF(G12="WATER",1,0)*IF(B78="FIRE",2,IF(B78="WOOD",0.5,1))*G74+IF(G12="WOOD",1,0)*IF(B78="WATER",2,IF(B78="FIRE",0.5,1))*G74+IF(G12="LIGHT",1,0)*IF(B78="DARK",2,1)*G74+IF(G12="DARK",1,0)*IF(B78="LIGHT",2,1)*G74,0)-B79)&lt;1,1,(ROUND(IF(G12="FIRE",1,0)*IF(B78="WOOD",2,IF(B78="WATER",0.5,1))*G74+IF(G12="WATER",1,0)*IF(B78="FIRE",2,IF(B78="WOOD",0.5,1))*G74+IF(G12="WOOD",1,0)*IF(B78="WATER",2,IF(B78="FIRE",0.5,1))*G74+IF(G12="LIGHT",1,0)*IF(B78="DARK",2,1)*G74+IF(G12="DARK",1,0)*IF(B78="LIGHT",2,1)*G74,0)-B79))))</f>
        <v>80256</v>
      </c>
    </row>
    <row r="85" spans="1:7" ht="18.75" x14ac:dyDescent="0.3">
      <c r="A85" s="36"/>
      <c r="B85" s="32" t="s">
        <v>2</v>
      </c>
      <c r="C85" s="26" t="s">
        <v>4</v>
      </c>
      <c r="D85" s="26" t="s">
        <v>3</v>
      </c>
      <c r="E85" s="26" t="s">
        <v>5</v>
      </c>
      <c r="F85" s="26" t="s">
        <v>6</v>
      </c>
      <c r="G85" s="34" t="s">
        <v>87</v>
      </c>
    </row>
    <row r="86" spans="1:7" ht="18.75" x14ac:dyDescent="0.3">
      <c r="A86" s="15" t="s">
        <v>2601</v>
      </c>
      <c r="B86" s="33">
        <f>IF(B11="FIRE",1,0)*B82+IF(B12="FIRE",1,0)*B83+IF(C11="FIRE",1,0)*C82+IF(C12="FIRE",1,0)*C83+IF(D11="FIRE",1,0)*D82+IF(D12="FIRE",1,0)*D83+IF(E11="FIRE",1,0)*E82+IF(E12="FIRE",1,0)*E83+IF(F11="FIRE",1,0)*F82+IF(F12="FIRE",1,0)*F83+IF(G11="FIRE",1,0)*G82+IF(G12="FIRE",1,0)*G83</f>
        <v>0</v>
      </c>
      <c r="C86" s="28">
        <f>IF(B11="WATER",1,0)*B82+IF(B12="WATER",1,0)*B83+IF(C11="WATER",1,0)*C82+IF(C12="WATER",1,0)*C83+IF(D11="WATER",1,0)*D82+IF(D12="WATER",1,0)*D83+IF(E11="WATER",1,0)*E82+IF(E12="WATER",1,0)*E83+IF(F11="WATER",1,0)*F82+IF(F12="WATER",1,0)*F83+IF(G11="WATER",1,0)*G82+IF(G12="WATER",1,0)*G83</f>
        <v>111552</v>
      </c>
      <c r="D86" s="29">
        <f>IF(B11="WOOD",1,0)*B82+IF(B12="WOOD",1,0)*B83+IF(C11="WOOD",1,0)*C82+IF(C12="WOOD",1,0)*C83+IF(D11="WOOD",1,0)*D82+IF(D12="WOOD",1,0)*D83+IF(E11="WOOD",1,0)*E82+IF(E12="WOOD",1,0)*E83+IF(F11="WOOD",1,0)*F82+IF(F12="WOOD",1,0)*F83+IF(G11="WOOD",1,0)*G82+IF(G12="WOOD",1,0)*G83</f>
        <v>11465760</v>
      </c>
      <c r="E86" s="30">
        <f>IF(B11="LIGHT",1,0)*B82+IF(B12="LIGHT",1,0)*B83+IF(C11="LIGHT",1,0)*C82+IF(C12="LIGHT",1,0)*C83+IF(D11="LIGHT",1,0)*D82+IF(D12="LIGHT",1,0)*D83+IF(E11="LIGHT",1,0)*E82+IF(E12="LIGHT",1,0)*E83+IF(F11="LIGHT",1,0)*F82+IF(F12="LIGHT",1,0)*F83+IF(G11="LIGHT",1,0)*G82+IF(G12="LIGHT",1,0)*G83</f>
        <v>0</v>
      </c>
      <c r="F86" s="31">
        <f>IF(B11="DARK",1,0)*B82+IF(B12="DARK",1,0)*B83+IF(C11="DARK",1,0)*C82+IF(C12="DARK",1,0)*C83+IF(D11="DARK",1,0)*D82+IF(D12="DARK",1,0)*D83+IF(E11="DARK",1,0)*E82+IF(E12="DARK",1,0)*E83+IF(F11="DARK",1,0)*F82+IF(F12="DARK",1,0)*F83+IF(G11="DARK",1,0)*G82+IF(G12="DARK",1,0)*G83</f>
        <v>160512</v>
      </c>
      <c r="G86" s="43">
        <f>SUM(B86:F86)</f>
        <v>11737824</v>
      </c>
    </row>
  </sheetData>
  <dataConsolidate/>
  <mergeCells count="3">
    <mergeCell ref="A57:G57"/>
    <mergeCell ref="A2:A3"/>
    <mergeCell ref="A76:G76"/>
  </mergeCells>
  <conditionalFormatting sqref="B73">
    <cfRule type="expression" dxfId="221" priority="290">
      <formula>IF(B11="NONE",TRUE,FALSE)</formula>
    </cfRule>
    <cfRule type="expression" dxfId="220" priority="352">
      <formula>IF(B11="DARK",TRUE,FALSE)</formula>
    </cfRule>
    <cfRule type="expression" dxfId="219" priority="353">
      <formula>IF(B11="LIGHT",TRUE,FALSE)</formula>
    </cfRule>
    <cfRule type="expression" dxfId="218" priority="354">
      <formula>IF(B11="WOOD",TRUE,FALSE)</formula>
    </cfRule>
    <cfRule type="expression" dxfId="217" priority="355">
      <formula>IF(B11="WATER",TRUE,FALSE)</formula>
    </cfRule>
    <cfRule type="expression" dxfId="216" priority="356">
      <formula>IF(B11="FIRE",TRUE,FALSE)</formula>
    </cfRule>
  </conditionalFormatting>
  <conditionalFormatting sqref="B11">
    <cfRule type="expression" dxfId="215" priority="291">
      <formula>IF(B11="NONE",TRUE,FALSE)</formula>
    </cfRule>
    <cfRule type="expression" dxfId="214" priority="292">
      <formula>IF(B11="DARK",TRUE,FALSE)</formula>
    </cfRule>
    <cfRule type="expression" dxfId="213" priority="293">
      <formula>IF(B11="LIGHT",TRUE,FALSE)</formula>
    </cfRule>
    <cfRule type="expression" dxfId="212" priority="294">
      <formula>IF(B11="WOOD",TRUE,FALSE)</formula>
    </cfRule>
    <cfRule type="expression" dxfId="211" priority="295">
      <formula>IF(B11="WATER",TRUE,FALSE)</formula>
    </cfRule>
    <cfRule type="expression" dxfId="210" priority="296">
      <formula>IF(B11="FIRE",TRUE,FALSE)</formula>
    </cfRule>
  </conditionalFormatting>
  <conditionalFormatting sqref="B74">
    <cfRule type="expression" dxfId="209" priority="283">
      <formula>IF(B12="NONE",TRUE,FALSE)</formula>
    </cfRule>
    <cfRule type="expression" dxfId="208" priority="284">
      <formula>IF(B12="DARK",TRUE,FALSE)</formula>
    </cfRule>
    <cfRule type="expression" dxfId="207" priority="285">
      <formula>IF(B12="LIGHT",TRUE,FALSE)</formula>
    </cfRule>
    <cfRule type="expression" dxfId="206" priority="286">
      <formula>IF(B12="WOOD",TRUE,FALSE)</formula>
    </cfRule>
    <cfRule type="expression" dxfId="205" priority="287">
      <formula>IF(B12="WATER",TRUE,FALSE)</formula>
    </cfRule>
    <cfRule type="expression" dxfId="204" priority="288">
      <formula>IF(B12="FIRE",TRUE,FALSE)</formula>
    </cfRule>
  </conditionalFormatting>
  <conditionalFormatting sqref="C73">
    <cfRule type="expression" dxfId="203" priority="277">
      <formula>IF(C11="NONE",TRUE,FALSE)</formula>
    </cfRule>
    <cfRule type="expression" dxfId="202" priority="278">
      <formula>IF(C11="DARK",TRUE,FALSE)</formula>
    </cfRule>
    <cfRule type="expression" dxfId="201" priority="279">
      <formula>IF(C11="LIGHT",TRUE,FALSE)</formula>
    </cfRule>
    <cfRule type="expression" dxfId="200" priority="280">
      <formula>IF(C11="WOOD",TRUE,FALSE)</formula>
    </cfRule>
    <cfRule type="expression" dxfId="199" priority="281">
      <formula>IF(C11="WATER",TRUE,FALSE)</formula>
    </cfRule>
    <cfRule type="expression" dxfId="198" priority="282">
      <formula>IF(C11="FIRE",TRUE,FALSE)</formula>
    </cfRule>
  </conditionalFormatting>
  <conditionalFormatting sqref="C74">
    <cfRule type="expression" dxfId="197" priority="271">
      <formula>IF(C12="NONE",TRUE,FALSE)</formula>
    </cfRule>
    <cfRule type="expression" dxfId="196" priority="272">
      <formula>IF(C12="DARK",TRUE,FALSE)</formula>
    </cfRule>
    <cfRule type="expression" dxfId="195" priority="273">
      <formula>IF(C12="LIGHT",TRUE,FALSE)</formula>
    </cfRule>
    <cfRule type="expression" dxfId="194" priority="274">
      <formula>IF(C12="WOOD",TRUE,FALSE)</formula>
    </cfRule>
    <cfRule type="expression" dxfId="193" priority="275">
      <formula>IF(C12="WATER",TRUE,FALSE)</formula>
    </cfRule>
    <cfRule type="expression" dxfId="192" priority="276">
      <formula>IF(C12="FIRE",TRUE,FALSE)</formula>
    </cfRule>
  </conditionalFormatting>
  <conditionalFormatting sqref="D73">
    <cfRule type="expression" dxfId="191" priority="265">
      <formula>IF(D11="NONE",TRUE,FALSE)</formula>
    </cfRule>
    <cfRule type="expression" dxfId="190" priority="266">
      <formula>IF(D11="DARK",TRUE,FALSE)</formula>
    </cfRule>
    <cfRule type="expression" dxfId="189" priority="267">
      <formula>IF(D11="LIGHT",TRUE,FALSE)</formula>
    </cfRule>
    <cfRule type="expression" dxfId="188" priority="268">
      <formula>IF(D11="WOOD",TRUE,FALSE)</formula>
    </cfRule>
    <cfRule type="expression" dxfId="187" priority="269">
      <formula>IF(D11="WATER",TRUE,FALSE)</formula>
    </cfRule>
    <cfRule type="expression" dxfId="186" priority="270">
      <formula>IF(D11="FIRE",TRUE,FALSE)</formula>
    </cfRule>
  </conditionalFormatting>
  <conditionalFormatting sqref="D74">
    <cfRule type="expression" dxfId="185" priority="259">
      <formula>IF(D12="NONE",TRUE,FALSE)</formula>
    </cfRule>
    <cfRule type="expression" dxfId="184" priority="260">
      <formula>IF(D12="DARK",TRUE,FALSE)</formula>
    </cfRule>
    <cfRule type="expression" dxfId="183" priority="261">
      <formula>IF(D12="LIGHT",TRUE,FALSE)</formula>
    </cfRule>
    <cfRule type="expression" dxfId="182" priority="262">
      <formula>IF(D12="WOOD",TRUE,FALSE)</formula>
    </cfRule>
    <cfRule type="expression" dxfId="181" priority="263">
      <formula>IF(D12="WATER",TRUE,FALSE)</formula>
    </cfRule>
    <cfRule type="expression" dxfId="180" priority="264">
      <formula>IF(D12="FIRE",TRUE,FALSE)</formula>
    </cfRule>
  </conditionalFormatting>
  <conditionalFormatting sqref="E73">
    <cfRule type="expression" dxfId="179" priority="253">
      <formula>IF(E11="NONE",TRUE,FALSE)</formula>
    </cfRule>
    <cfRule type="expression" dxfId="178" priority="254">
      <formula>IF(E11="DARK",TRUE,FALSE)</formula>
    </cfRule>
    <cfRule type="expression" dxfId="177" priority="255">
      <formula>IF(E11="LIGHT",TRUE,FALSE)</formula>
    </cfRule>
    <cfRule type="expression" dxfId="176" priority="256">
      <formula>IF(E11="WOOD",TRUE,FALSE)</formula>
    </cfRule>
    <cfRule type="expression" dxfId="175" priority="257">
      <formula>IF(E11="WATER",TRUE,FALSE)</formula>
    </cfRule>
    <cfRule type="expression" dxfId="174" priority="258">
      <formula>IF(E11="FIRE",TRUE,FALSE)</formula>
    </cfRule>
  </conditionalFormatting>
  <conditionalFormatting sqref="E74">
    <cfRule type="expression" dxfId="173" priority="247">
      <formula>IF(E12="NONE",TRUE,FALSE)</formula>
    </cfRule>
    <cfRule type="expression" dxfId="172" priority="248">
      <formula>IF(E12="DARK",TRUE,FALSE)</formula>
    </cfRule>
    <cfRule type="expression" dxfId="171" priority="249">
      <formula>IF(E12="LIGHT",TRUE,FALSE)</formula>
    </cfRule>
    <cfRule type="expression" dxfId="170" priority="250">
      <formula>IF(E12="WOOD",TRUE,FALSE)</formula>
    </cfRule>
    <cfRule type="expression" dxfId="169" priority="251">
      <formula>IF(E12="WATER",TRUE,FALSE)</formula>
    </cfRule>
    <cfRule type="expression" dxfId="168" priority="252">
      <formula>IF(E12="FIRE",TRUE,FALSE)</formula>
    </cfRule>
  </conditionalFormatting>
  <conditionalFormatting sqref="F73">
    <cfRule type="expression" dxfId="167" priority="241">
      <formula>IF(F11="NONE",TRUE,FALSE)</formula>
    </cfRule>
    <cfRule type="expression" dxfId="166" priority="242">
      <formula>IF(F11="DARK",TRUE,FALSE)</formula>
    </cfRule>
    <cfRule type="expression" dxfId="165" priority="243">
      <formula>IF(F11="LIGHT",TRUE,FALSE)</formula>
    </cfRule>
    <cfRule type="expression" dxfId="164" priority="244">
      <formula>IF(F11="WOOD",TRUE,FALSE)</formula>
    </cfRule>
    <cfRule type="expression" dxfId="163" priority="245">
      <formula>IF(F11="WATER",TRUE,FALSE)</formula>
    </cfRule>
    <cfRule type="expression" dxfId="162" priority="246">
      <formula>IF(F11="FIRE",TRUE,FALSE)</formula>
    </cfRule>
  </conditionalFormatting>
  <conditionalFormatting sqref="F74">
    <cfRule type="expression" dxfId="161" priority="235">
      <formula>IF(F12="NONE",TRUE,FALSE)</formula>
    </cfRule>
    <cfRule type="expression" dxfId="160" priority="236">
      <formula>IF(F12="DARK",TRUE,FALSE)</formula>
    </cfRule>
    <cfRule type="expression" dxfId="159" priority="237">
      <formula>IF(F12="LIGHT",TRUE,FALSE)</formula>
    </cfRule>
    <cfRule type="expression" dxfId="158" priority="238">
      <formula>IF(F12="WOOD",TRUE,FALSE)</formula>
    </cfRule>
    <cfRule type="expression" dxfId="157" priority="239">
      <formula>IF(F12="WATER",TRUE,FALSE)</formula>
    </cfRule>
    <cfRule type="expression" dxfId="156" priority="240">
      <formula>IF(F12="FIRE",TRUE,FALSE)</formula>
    </cfRule>
  </conditionalFormatting>
  <conditionalFormatting sqref="G73">
    <cfRule type="expression" dxfId="155" priority="229">
      <formula>IF(G11="NONE",TRUE,FALSE)</formula>
    </cfRule>
    <cfRule type="expression" dxfId="154" priority="230">
      <formula>IF(G11="DARK",TRUE,FALSE)</formula>
    </cfRule>
    <cfRule type="expression" dxfId="153" priority="231">
      <formula>IF(G11="LIGHT",TRUE,FALSE)</formula>
    </cfRule>
    <cfRule type="expression" dxfId="152" priority="232">
      <formula>IF(G11="WOOD",TRUE,FALSE)</formula>
    </cfRule>
    <cfRule type="expression" dxfId="151" priority="233">
      <formula>IF(G11="WATER",TRUE,FALSE)</formula>
    </cfRule>
    <cfRule type="expression" dxfId="150" priority="234">
      <formula>IF(G11="FIRE",TRUE,FALSE)</formula>
    </cfRule>
  </conditionalFormatting>
  <conditionalFormatting sqref="G74">
    <cfRule type="expression" dxfId="149" priority="223">
      <formula>IF(G12="NONE",TRUE,FALSE)</formula>
    </cfRule>
    <cfRule type="expression" dxfId="148" priority="224">
      <formula>IF(G12="DARK",TRUE,FALSE)</formula>
    </cfRule>
    <cfRule type="expression" dxfId="147" priority="225">
      <formula>IF(G12="LIGHT",TRUE,FALSE)</formula>
    </cfRule>
    <cfRule type="expression" dxfId="146" priority="226">
      <formula>IF(G12="WOOD",TRUE,FALSE)</formula>
    </cfRule>
    <cfRule type="expression" dxfId="145" priority="227">
      <formula>IF(G12="WATER",TRUE,FALSE)</formula>
    </cfRule>
    <cfRule type="expression" dxfId="144" priority="228">
      <formula>IF(G12="FIRE",TRUE,FALSE)</formula>
    </cfRule>
  </conditionalFormatting>
  <conditionalFormatting sqref="B12">
    <cfRule type="expression" dxfId="143" priority="217">
      <formula>IF(B12="NONE",TRUE,FALSE)</formula>
    </cfRule>
    <cfRule type="expression" dxfId="142" priority="218">
      <formula>IF(B12="DARK",TRUE,FALSE)</formula>
    </cfRule>
    <cfRule type="expression" dxfId="141" priority="219">
      <formula>IF(B12="LIGHT",TRUE,FALSE)</formula>
    </cfRule>
    <cfRule type="expression" dxfId="140" priority="220">
      <formula>IF(B12="WOOD",TRUE,FALSE)</formula>
    </cfRule>
    <cfRule type="expression" dxfId="139" priority="221">
      <formula>IF(B12="WATER",TRUE,FALSE)</formula>
    </cfRule>
    <cfRule type="expression" dxfId="138" priority="222">
      <formula>IF(B12="FIRE",TRUE,FALSE)</formula>
    </cfRule>
  </conditionalFormatting>
  <conditionalFormatting sqref="C11">
    <cfRule type="expression" dxfId="137" priority="211">
      <formula>IF(C11="NONE",TRUE,FALSE)</formula>
    </cfRule>
    <cfRule type="expression" dxfId="136" priority="212">
      <formula>IF(C11="DARK",TRUE,FALSE)</formula>
    </cfRule>
    <cfRule type="expression" dxfId="135" priority="213">
      <formula>IF(C11="LIGHT",TRUE,FALSE)</formula>
    </cfRule>
    <cfRule type="expression" dxfId="134" priority="214">
      <formula>IF(C11="WOOD",TRUE,FALSE)</formula>
    </cfRule>
    <cfRule type="expression" dxfId="133" priority="215">
      <formula>IF(C11="WATER",TRUE,FALSE)</formula>
    </cfRule>
    <cfRule type="expression" dxfId="132" priority="216">
      <formula>IF(C11="FIRE",TRUE,FALSE)</formula>
    </cfRule>
  </conditionalFormatting>
  <conditionalFormatting sqref="C12">
    <cfRule type="expression" dxfId="131" priority="205">
      <formula>IF(C12="NONE",TRUE,FALSE)</formula>
    </cfRule>
    <cfRule type="expression" dxfId="130" priority="206">
      <formula>IF(C12="DARK",TRUE,FALSE)</formula>
    </cfRule>
    <cfRule type="expression" dxfId="129" priority="207">
      <formula>IF(C12="LIGHT",TRUE,FALSE)</formula>
    </cfRule>
    <cfRule type="expression" dxfId="128" priority="208">
      <formula>IF(C12="WOOD",TRUE,FALSE)</formula>
    </cfRule>
    <cfRule type="expression" dxfId="127" priority="209">
      <formula>IF(C12="WATER",TRUE,FALSE)</formula>
    </cfRule>
    <cfRule type="expression" dxfId="126" priority="210">
      <formula>IF(C12="FIRE",TRUE,FALSE)</formula>
    </cfRule>
  </conditionalFormatting>
  <conditionalFormatting sqref="D11">
    <cfRule type="expression" dxfId="125" priority="199">
      <formula>IF(D11="NONE",TRUE,FALSE)</formula>
    </cfRule>
    <cfRule type="expression" dxfId="124" priority="200">
      <formula>IF(D11="DARK",TRUE,FALSE)</formula>
    </cfRule>
    <cfRule type="expression" dxfId="123" priority="201">
      <formula>IF(D11="LIGHT",TRUE,FALSE)</formula>
    </cfRule>
    <cfRule type="expression" dxfId="122" priority="202">
      <formula>IF(D11="WOOD",TRUE,FALSE)</formula>
    </cfRule>
    <cfRule type="expression" dxfId="121" priority="203">
      <formula>IF(D11="WATER",TRUE,FALSE)</formula>
    </cfRule>
    <cfRule type="expression" dxfId="120" priority="204">
      <formula>IF(D11="FIRE",TRUE,FALSE)</formula>
    </cfRule>
  </conditionalFormatting>
  <conditionalFormatting sqref="D12">
    <cfRule type="expression" dxfId="119" priority="193">
      <formula>IF(D12="NONE",TRUE,FALSE)</formula>
    </cfRule>
    <cfRule type="expression" dxfId="118" priority="194">
      <formula>IF(D12="DARK",TRUE,FALSE)</formula>
    </cfRule>
    <cfRule type="expression" dxfId="117" priority="195">
      <formula>IF(D12="LIGHT",TRUE,FALSE)</formula>
    </cfRule>
    <cfRule type="expression" dxfId="116" priority="196">
      <formula>IF(D12="WOOD",TRUE,FALSE)</formula>
    </cfRule>
    <cfRule type="expression" dxfId="115" priority="197">
      <formula>IF(D12="WATER",TRUE,FALSE)</formula>
    </cfRule>
    <cfRule type="expression" dxfId="114" priority="198">
      <formula>IF(D12="FIRE",TRUE,FALSE)</formula>
    </cfRule>
  </conditionalFormatting>
  <conditionalFormatting sqref="E11">
    <cfRule type="expression" dxfId="113" priority="187">
      <formula>IF(E11="NONE",TRUE,FALSE)</formula>
    </cfRule>
    <cfRule type="expression" dxfId="112" priority="188">
      <formula>IF(E11="DARK",TRUE,FALSE)</formula>
    </cfRule>
    <cfRule type="expression" dxfId="111" priority="189">
      <formula>IF(E11="LIGHT",TRUE,FALSE)</formula>
    </cfRule>
    <cfRule type="expression" dxfId="110" priority="190">
      <formula>IF(E11="WOOD",TRUE,FALSE)</formula>
    </cfRule>
    <cfRule type="expression" dxfId="109" priority="191">
      <formula>IF(E11="WATER",TRUE,FALSE)</formula>
    </cfRule>
    <cfRule type="expression" dxfId="108" priority="192">
      <formula>IF(E11="FIRE",TRUE,FALSE)</formula>
    </cfRule>
  </conditionalFormatting>
  <conditionalFormatting sqref="E12">
    <cfRule type="expression" dxfId="107" priority="181">
      <formula>IF(E12="NONE",TRUE,FALSE)</formula>
    </cfRule>
    <cfRule type="expression" dxfId="106" priority="182">
      <formula>IF(E12="DARK",TRUE,FALSE)</formula>
    </cfRule>
    <cfRule type="expression" dxfId="105" priority="183">
      <formula>IF(E12="LIGHT",TRUE,FALSE)</formula>
    </cfRule>
    <cfRule type="expression" dxfId="104" priority="184">
      <formula>IF(E12="WOOD",TRUE,FALSE)</formula>
    </cfRule>
    <cfRule type="expression" dxfId="103" priority="185">
      <formula>IF(E12="WATER",TRUE,FALSE)</formula>
    </cfRule>
    <cfRule type="expression" dxfId="102" priority="186">
      <formula>IF(E12="FIRE",TRUE,FALSE)</formula>
    </cfRule>
  </conditionalFormatting>
  <conditionalFormatting sqref="F11">
    <cfRule type="expression" dxfId="101" priority="175">
      <formula>IF(F11="NONE",TRUE,FALSE)</formula>
    </cfRule>
    <cfRule type="expression" dxfId="100" priority="176">
      <formula>IF(F11="DARK",TRUE,FALSE)</formula>
    </cfRule>
    <cfRule type="expression" dxfId="99" priority="177">
      <formula>IF(F11="LIGHT",TRUE,FALSE)</formula>
    </cfRule>
    <cfRule type="expression" dxfId="98" priority="178">
      <formula>IF(F11="WOOD",TRUE,FALSE)</formula>
    </cfRule>
    <cfRule type="expression" dxfId="97" priority="179">
      <formula>IF(F11="WATER",TRUE,FALSE)</formula>
    </cfRule>
    <cfRule type="expression" dxfId="96" priority="180">
      <formula>IF(F11="FIRE",TRUE,FALSE)</formula>
    </cfRule>
  </conditionalFormatting>
  <conditionalFormatting sqref="F12">
    <cfRule type="expression" dxfId="95" priority="169">
      <formula>IF(F12="NONE",TRUE,FALSE)</formula>
    </cfRule>
    <cfRule type="expression" dxfId="94" priority="170">
      <formula>IF(F12="DARK",TRUE,FALSE)</formula>
    </cfRule>
    <cfRule type="expression" dxfId="93" priority="171">
      <formula>IF(F12="LIGHT",TRUE,FALSE)</formula>
    </cfRule>
    <cfRule type="expression" dxfId="92" priority="172">
      <formula>IF(F12="WOOD",TRUE,FALSE)</formula>
    </cfRule>
    <cfRule type="expression" dxfId="91" priority="173">
      <formula>IF(F12="WATER",TRUE,FALSE)</formula>
    </cfRule>
    <cfRule type="expression" dxfId="90" priority="174">
      <formula>IF(F12="FIRE",TRUE,FALSE)</formula>
    </cfRule>
  </conditionalFormatting>
  <conditionalFormatting sqref="G11">
    <cfRule type="expression" dxfId="89" priority="163">
      <formula>IF(G11="NONE",TRUE,FALSE)</formula>
    </cfRule>
    <cfRule type="expression" dxfId="88" priority="164">
      <formula>IF(G11="DARK",TRUE,FALSE)</formula>
    </cfRule>
    <cfRule type="expression" dxfId="87" priority="165">
      <formula>IF(G11="LIGHT",TRUE,FALSE)</formula>
    </cfRule>
    <cfRule type="expression" dxfId="86" priority="166">
      <formula>IF(G11="WOOD",TRUE,FALSE)</formula>
    </cfRule>
    <cfRule type="expression" dxfId="85" priority="167">
      <formula>IF(G11="WATER",TRUE,FALSE)</formula>
    </cfRule>
    <cfRule type="expression" dxfId="84" priority="168">
      <formula>IF(G11="FIRE",TRUE,FALSE)</formula>
    </cfRule>
  </conditionalFormatting>
  <conditionalFormatting sqref="G12">
    <cfRule type="expression" dxfId="83" priority="157">
      <formula>IF(G12="NONE",TRUE,FALSE)</formula>
    </cfRule>
    <cfRule type="expression" dxfId="82" priority="158">
      <formula>IF(G12="DARK",TRUE,FALSE)</formula>
    </cfRule>
    <cfRule type="expression" dxfId="81" priority="159">
      <formula>IF(G12="LIGHT",TRUE,FALSE)</formula>
    </cfRule>
    <cfRule type="expression" dxfId="80" priority="160">
      <formula>IF(G12="WOOD",TRUE,FALSE)</formula>
    </cfRule>
    <cfRule type="expression" dxfId="79" priority="161">
      <formula>IF(G12="WATER",TRUE,FALSE)</formula>
    </cfRule>
    <cfRule type="expression" dxfId="78" priority="162">
      <formula>IF(G12="FIRE",TRUE,FALSE)</formula>
    </cfRule>
  </conditionalFormatting>
  <conditionalFormatting sqref="B78:B80">
    <cfRule type="expression" dxfId="77" priority="151">
      <formula>IF(B78="NONE",TRUE,FALSE)</formula>
    </cfRule>
    <cfRule type="expression" dxfId="76" priority="152">
      <formula>IF(B78="DARK",TRUE,FALSE)</formula>
    </cfRule>
    <cfRule type="expression" dxfId="75" priority="153">
      <formula>IF(B78="LIGHT",TRUE,FALSE)</formula>
    </cfRule>
    <cfRule type="expression" dxfId="74" priority="154">
      <formula>IF(B78="WOOD",TRUE,FALSE)</formula>
    </cfRule>
    <cfRule type="expression" dxfId="73" priority="155">
      <formula>IF(B78="WATER",TRUE,FALSE)</formula>
    </cfRule>
    <cfRule type="expression" dxfId="72" priority="156">
      <formula>IF(B78="FIRE",TRUE,FALSE)</formula>
    </cfRule>
  </conditionalFormatting>
  <conditionalFormatting sqref="B82">
    <cfRule type="expression" dxfId="71" priority="73">
      <formula>IF(B11="NONE",TRUE,FALSE)</formula>
    </cfRule>
    <cfRule type="expression" dxfId="70" priority="74">
      <formula>IF(B11="DARK",TRUE,FALSE)</formula>
    </cfRule>
    <cfRule type="expression" dxfId="69" priority="75">
      <formula>IF(B11="LIGHT",TRUE,FALSE)</formula>
    </cfRule>
    <cfRule type="expression" dxfId="68" priority="76">
      <formula>IF(B11="WOOD",TRUE,FALSE)</formula>
    </cfRule>
    <cfRule type="expression" dxfId="67" priority="77">
      <formula>IF(B11="WATER",TRUE,FALSE)</formula>
    </cfRule>
    <cfRule type="expression" dxfId="66" priority="78">
      <formula>IF(B11="FIRE",TRUE,FALSE)</formula>
    </cfRule>
  </conditionalFormatting>
  <conditionalFormatting sqref="B83">
    <cfRule type="expression" dxfId="65" priority="61">
      <formula>IF(B12="NONE",TRUE,FALSE)</formula>
    </cfRule>
    <cfRule type="expression" dxfId="64" priority="62">
      <formula>IF(B12="DARK",TRUE,FALSE)</formula>
    </cfRule>
    <cfRule type="expression" dxfId="63" priority="63">
      <formula>IF(B12="LIGHT",TRUE,FALSE)</formula>
    </cfRule>
    <cfRule type="expression" dxfId="62" priority="64">
      <formula>IF(B12="WOOD",TRUE,FALSE)</formula>
    </cfRule>
    <cfRule type="expression" dxfId="61" priority="65">
      <formula>IF(B12="WATER",TRUE,FALSE)</formula>
    </cfRule>
    <cfRule type="expression" dxfId="60" priority="66">
      <formula>IF(B12="FIRE",TRUE,FALSE)</formula>
    </cfRule>
  </conditionalFormatting>
  <conditionalFormatting sqref="C82">
    <cfRule type="expression" dxfId="59" priority="55">
      <formula>IF(C11="NONE",TRUE,FALSE)</formula>
    </cfRule>
    <cfRule type="expression" dxfId="58" priority="56">
      <formula>IF(C11="DARK",TRUE,FALSE)</formula>
    </cfRule>
    <cfRule type="expression" dxfId="57" priority="57">
      <formula>IF(C11="LIGHT",TRUE,FALSE)</formula>
    </cfRule>
    <cfRule type="expression" dxfId="56" priority="58">
      <formula>IF(C11="WOOD",TRUE,FALSE)</formula>
    </cfRule>
    <cfRule type="expression" dxfId="55" priority="59">
      <formula>IF(C11="WATER",TRUE,FALSE)</formula>
    </cfRule>
    <cfRule type="expression" dxfId="54" priority="60">
      <formula>IF(C11="FIRE",TRUE,FALSE)</formula>
    </cfRule>
  </conditionalFormatting>
  <conditionalFormatting sqref="C83">
    <cfRule type="expression" dxfId="53" priority="49">
      <formula>IF(C12="NONE",TRUE,FALSE)</formula>
    </cfRule>
    <cfRule type="expression" dxfId="52" priority="50">
      <formula>IF(C12="DARK",TRUE,FALSE)</formula>
    </cfRule>
    <cfRule type="expression" dxfId="51" priority="51">
      <formula>IF(C12="LIGHT",TRUE,FALSE)</formula>
    </cfRule>
    <cfRule type="expression" dxfId="50" priority="52">
      <formula>IF(C12="WOOD",TRUE,FALSE)</formula>
    </cfRule>
    <cfRule type="expression" dxfId="49" priority="53">
      <formula>IF(C12="WATER",TRUE,FALSE)</formula>
    </cfRule>
    <cfRule type="expression" dxfId="48" priority="54">
      <formula>IF(C12="FIRE",TRUE,FALSE)</formula>
    </cfRule>
  </conditionalFormatting>
  <conditionalFormatting sqref="D82">
    <cfRule type="expression" dxfId="47" priority="43">
      <formula>IF(D11="NONE",TRUE,FALSE)</formula>
    </cfRule>
    <cfRule type="expression" dxfId="46" priority="44">
      <formula>IF(D11="DARK",TRUE,FALSE)</formula>
    </cfRule>
    <cfRule type="expression" dxfId="45" priority="45">
      <formula>IF(D11="LIGHT",TRUE,FALSE)</formula>
    </cfRule>
    <cfRule type="expression" dxfId="44" priority="46">
      <formula>IF(D11="WOOD",TRUE,FALSE)</formula>
    </cfRule>
    <cfRule type="expression" dxfId="43" priority="47">
      <formula>IF(D11="WATER",TRUE,FALSE)</formula>
    </cfRule>
    <cfRule type="expression" dxfId="42" priority="48">
      <formula>IF(D11="FIRE",TRUE,FALSE)</formula>
    </cfRule>
  </conditionalFormatting>
  <conditionalFormatting sqref="D83">
    <cfRule type="expression" dxfId="41" priority="37">
      <formula>IF(D12="NONE",TRUE,FALSE)</formula>
    </cfRule>
    <cfRule type="expression" dxfId="40" priority="38">
      <formula>IF(D12="DARK",TRUE,FALSE)</formula>
    </cfRule>
    <cfRule type="expression" dxfId="39" priority="39">
      <formula>IF(D12="LIGHT",TRUE,FALSE)</formula>
    </cfRule>
    <cfRule type="expression" dxfId="38" priority="40">
      <formula>IF(D12="WOOD",TRUE,FALSE)</formula>
    </cfRule>
    <cfRule type="expression" dxfId="37" priority="41">
      <formula>IF(D12="WATER",TRUE,FALSE)</formula>
    </cfRule>
    <cfRule type="expression" dxfId="36" priority="42">
      <formula>IF(D12="FIRE",TRUE,FALSE)</formula>
    </cfRule>
  </conditionalFormatting>
  <conditionalFormatting sqref="E82">
    <cfRule type="expression" dxfId="35" priority="31">
      <formula>IF(E11="NONE",TRUE,FALSE)</formula>
    </cfRule>
    <cfRule type="expression" dxfId="34" priority="32">
      <formula>IF(E11="DARK",TRUE,FALSE)</formula>
    </cfRule>
    <cfRule type="expression" dxfId="33" priority="33">
      <formula>IF(E11="LIGHT",TRUE,FALSE)</formula>
    </cfRule>
    <cfRule type="expression" dxfId="32" priority="34">
      <formula>IF(E11="WOOD",TRUE,FALSE)</formula>
    </cfRule>
    <cfRule type="expression" dxfId="31" priority="35">
      <formula>IF(E11="WATER",TRUE,FALSE)</formula>
    </cfRule>
    <cfRule type="expression" dxfId="30" priority="36">
      <formula>IF(E11="FIRE",TRUE,FALSE)</formula>
    </cfRule>
  </conditionalFormatting>
  <conditionalFormatting sqref="E83">
    <cfRule type="expression" dxfId="29" priority="25">
      <formula>IF(E12="NONE",TRUE,FALSE)</formula>
    </cfRule>
    <cfRule type="expression" dxfId="28" priority="26">
      <formula>IF(E12="DARK",TRUE,FALSE)</formula>
    </cfRule>
    <cfRule type="expression" dxfId="27" priority="27">
      <formula>IF(E12="LIGHT",TRUE,FALSE)</formula>
    </cfRule>
    <cfRule type="expression" dxfId="26" priority="28">
      <formula>IF(E12="WOOD",TRUE,FALSE)</formula>
    </cfRule>
    <cfRule type="expression" dxfId="25" priority="29">
      <formula>IF(E12="WATER",TRUE,FALSE)</formula>
    </cfRule>
    <cfRule type="expression" dxfId="24" priority="30">
      <formula>IF(E12="FIRE",TRUE,FALSE)</formula>
    </cfRule>
  </conditionalFormatting>
  <conditionalFormatting sqref="F82">
    <cfRule type="expression" dxfId="23" priority="19">
      <formula>IF(F11="NONE",TRUE,FALSE)</formula>
    </cfRule>
    <cfRule type="expression" dxfId="22" priority="20">
      <formula>IF(F11="DARK",TRUE,FALSE)</formula>
    </cfRule>
    <cfRule type="expression" dxfId="21" priority="21">
      <formula>IF(F11="LIGHT",TRUE,FALSE)</formula>
    </cfRule>
    <cfRule type="expression" dxfId="20" priority="22">
      <formula>IF(F11="WOOD",TRUE,FALSE)</formula>
    </cfRule>
    <cfRule type="expression" dxfId="19" priority="23">
      <formula>IF(F11="WATER",TRUE,FALSE)</formula>
    </cfRule>
    <cfRule type="expression" dxfId="18" priority="24">
      <formula>IF(F11="FIRE",TRUE,FALSE)</formula>
    </cfRule>
  </conditionalFormatting>
  <conditionalFormatting sqref="F83">
    <cfRule type="expression" dxfId="17" priority="13">
      <formula>IF(F12="NONE",TRUE,FALSE)</formula>
    </cfRule>
    <cfRule type="expression" dxfId="16" priority="14">
      <formula>IF(F12="DARK",TRUE,FALSE)</formula>
    </cfRule>
    <cfRule type="expression" dxfId="15" priority="15">
      <formula>IF(F12="LIGHT",TRUE,FALSE)</formula>
    </cfRule>
    <cfRule type="expression" dxfId="14" priority="16">
      <formula>IF(F12="WOOD",TRUE,FALSE)</formula>
    </cfRule>
    <cfRule type="expression" dxfId="13" priority="17">
      <formula>IF(F12="WATER",TRUE,FALSE)</formula>
    </cfRule>
    <cfRule type="expression" dxfId="12" priority="18">
      <formula>IF(F12="FIRE",TRUE,FALSE)</formula>
    </cfRule>
  </conditionalFormatting>
  <conditionalFormatting sqref="G82">
    <cfRule type="expression" dxfId="11" priority="7">
      <formula>IF(G11="NONE",TRUE,FALSE)</formula>
    </cfRule>
    <cfRule type="expression" dxfId="10" priority="8">
      <formula>IF(G11="DARK",TRUE,FALSE)</formula>
    </cfRule>
    <cfRule type="expression" dxfId="9" priority="9">
      <formula>IF(G11="LIGHT",TRUE,FALSE)</formula>
    </cfRule>
    <cfRule type="expression" dxfId="8" priority="10">
      <formula>IF(G11="WOOD",TRUE,FALSE)</formula>
    </cfRule>
    <cfRule type="expression" dxfId="7" priority="11">
      <formula>IF(G11="WATER",TRUE,FALSE)</formula>
    </cfRule>
    <cfRule type="expression" dxfId="6" priority="12">
      <formula>IF(G11="FIRE",TRUE,FALSE)</formula>
    </cfRule>
  </conditionalFormatting>
  <conditionalFormatting sqref="G83">
    <cfRule type="expression" dxfId="5" priority="1">
      <formula>IF(G12="NONE",TRUE,FALSE)</formula>
    </cfRule>
    <cfRule type="expression" dxfId="4" priority="2">
      <formula>IF(G12="DARK",TRUE,FALSE)</formula>
    </cfRule>
    <cfRule type="expression" dxfId="3" priority="3">
      <formula>IF(G12="LIGHT",TRUE,FALSE)</formula>
    </cfRule>
    <cfRule type="expression" dxfId="2" priority="4">
      <formula>IF(G12="WOOD",TRUE,FALSE)</formula>
    </cfRule>
    <cfRule type="expression" dxfId="1" priority="5">
      <formula>IF(G12="WATER",TRUE,FALSE)</formula>
    </cfRule>
    <cfRule type="expression" dxfId="0" priority="6">
      <formula>IF(G12="FIRE",TRUE,FALSE)</formula>
    </cfRule>
  </conditionalFormatting>
  <dataValidations count="15">
    <dataValidation type="list" allowBlank="1" showInputMessage="1" showErrorMessage="1" sqref="B78">
      <formula1>Elements</formula1>
    </dataValidation>
    <dataValidation type="list" allowBlank="1" showInputMessage="1" showErrorMessage="1" sqref="B46:F46">
      <formula1>EnhancedOrbs</formula1>
    </dataValidation>
    <dataValidation type="list" allowBlank="1" showInputMessage="1" showErrorMessage="1" sqref="D36:D37 D39:D40 D55 D52:D53">
      <formula1>ElementTypes</formula1>
    </dataValidation>
    <dataValidation type="list" allowBlank="1" showInputMessage="1" showErrorMessage="1" sqref="A63:A67">
      <formula1>OrbMatches</formula1>
    </dataValidation>
    <dataValidation type="list" allowBlank="1" showInputMessage="1" showErrorMessage="1" sqref="B25:G25">
      <formula1>RowCount</formula1>
    </dataValidation>
    <dataValidation type="custom" allowBlank="1" showInputMessage="1" showErrorMessage="1" sqref="E55">
      <formula1>INDIRECT($D$55)</formula1>
    </dataValidation>
    <dataValidation type="custom" allowBlank="1" showInputMessage="1" showErrorMessage="1" sqref="B32:G34 B79">
      <formula1>ISNUMBER(B32)</formula1>
    </dataValidation>
    <dataValidation type="decimal" operator="lessThanOrEqual" allowBlank="1" showErrorMessage="1" errorTitle="Level too high!" error="Current level must be less than the maximum level!" sqref="B8:G8">
      <formula1>B9</formula1>
    </dataValidation>
    <dataValidation type="whole" allowBlank="1" showInputMessage="1" showErrorMessage="1" error="Value must be between 0 and 99!" sqref="B28:G30">
      <formula1>0</formula1>
      <formula2>99</formula2>
    </dataValidation>
    <dataValidation type="custom" allowBlank="1" showInputMessage="1" showErrorMessage="1" error="Please enter a valid number!" sqref="B36:B37 B39:B40 B52:B53 B55 B63:G67">
      <formula1>ISNUMBER(B36)</formula1>
    </dataValidation>
    <dataValidation type="list" allowBlank="1" showInputMessage="1" sqref="B22:G22 B16:G16 B19:G19">
      <formula1>RowCount</formula1>
    </dataValidation>
    <dataValidation allowBlank="1" showInputMessage="1" sqref="B17:G18 B20:G21 B23:G23"/>
    <dataValidation errorStyle="warning" operator="lessThanOrEqual" allowBlank="1" showInputMessage="1" showErrorMessage="1" error="You do not have that many row awakenings!" sqref="B49:F49"/>
    <dataValidation type="list" errorStyle="warning" allowBlank="1" showInputMessage="1" showErrorMessage="1" sqref="C60:F60">
      <formula1>RowCount</formula1>
    </dataValidation>
    <dataValidation type="list" errorStyle="warning" allowBlank="1" showInputMessage="1" sqref="B60">
      <formula1>RowCount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Reset">
                <anchor moveWithCells="1" sizeWithCells="1">
                  <from>
                    <xdr:col>0</xdr:col>
                    <xdr:colOff>561975</xdr:colOff>
                    <xdr:row>2</xdr:row>
                    <xdr:rowOff>0</xdr:rowOff>
                  </from>
                  <to>
                    <xdr:col>0</xdr:col>
                    <xdr:colOff>2152650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" name="Button 53">
              <controlPr defaultSize="0" print="0" autoFill="0" autoPict="0" macro="[0]!ComboReset">
                <anchor moveWithCells="1" sizeWithCells="1">
                  <from>
                    <xdr:col>0</xdr:col>
                    <xdr:colOff>571500</xdr:colOff>
                    <xdr:row>68</xdr:row>
                    <xdr:rowOff>28575</xdr:rowOff>
                  </from>
                  <to>
                    <xdr:col>0</xdr:col>
                    <xdr:colOff>2162175</xdr:colOff>
                    <xdr:row>68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custom" allowBlank="1" showInputMessage="1" showErrorMessage="1" error="Please enter a valid ID!">
          <x14:formula1>
            <xm:f>IFERROR(ISNUMBER(VLOOKUP(B2, 'Monster Database'!A1:Z9999, 1, FALSE)),FALSE)</xm:f>
          </x14:formula1>
          <xm:sqref>B2</xm:sqref>
        </x14:dataValidation>
        <x14:dataValidation type="custom" allowBlank="1" showInputMessage="1" showErrorMessage="1" error="Please enter a valid ID!">
          <x14:formula1>
            <xm:f>IFERROR(ISNUMBER(VLOOKUP(C2, 'Monster Database'!A1:Z9999, 1, FALSE)),FALSE)</xm:f>
          </x14:formula1>
          <xm:sqref>C2</xm:sqref>
        </x14:dataValidation>
        <x14:dataValidation type="custom" allowBlank="1" showInputMessage="1" showErrorMessage="1" error="Please enter a valid ID!">
          <x14:formula1>
            <xm:f>IFERROR(ISNUMBER(VLOOKUP(D2, 'Monster Database'!A1:Z9999, 1, FALSE)),FALSE)</xm:f>
          </x14:formula1>
          <xm:sqref>D2</xm:sqref>
        </x14:dataValidation>
        <x14:dataValidation type="custom" allowBlank="1" showInputMessage="1" showErrorMessage="1" error="Please enter a valid ID!">
          <x14:formula1>
            <xm:f>IFERROR(ISNUMBER(VLOOKUP(E2, 'Monster Database'!A1:Z9999, 1, FALSE)),FALSE)</xm:f>
          </x14:formula1>
          <xm:sqref>E2</xm:sqref>
        </x14:dataValidation>
        <x14:dataValidation type="custom" allowBlank="1" showInputMessage="1" showErrorMessage="1" error="Please enter a valid ID!">
          <x14:formula1>
            <xm:f>IFERROR(ISNUMBER(VLOOKUP(F2, 'Monster Database'!A1:Z9999, 1, FALSE)),FALSE)</xm:f>
          </x14:formula1>
          <xm:sqref>F2</xm:sqref>
        </x14:dataValidation>
        <x14:dataValidation type="custom" allowBlank="1" showInputMessage="1" showErrorMessage="1" error="Please enter a valid ID!">
          <x14:formula1>
            <xm:f>IFERROR(ISNUMBER(VLOOKUP(G2, 'Monster Database'!A1:Z9999, 1, FALSE)),FALSE)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407"/>
  <sheetViews>
    <sheetView topLeftCell="A1373" workbookViewId="0">
      <selection activeCell="B1401" sqref="B1401"/>
    </sheetView>
  </sheetViews>
  <sheetFormatPr defaultColWidth="5.7109375" defaultRowHeight="15" x14ac:dyDescent="0.25"/>
  <cols>
    <col min="1" max="1" width="5" bestFit="1" customWidth="1"/>
    <col min="2" max="2" width="38.5703125" bestFit="1" customWidth="1"/>
    <col min="4" max="5" width="10.140625" bestFit="1" customWidth="1"/>
    <col min="6" max="6" width="8.5703125" bestFit="1" customWidth="1"/>
    <col min="7" max="7" width="9.5703125" bestFit="1" customWidth="1"/>
    <col min="8" max="8" width="5" bestFit="1" customWidth="1"/>
    <col min="9" max="9" width="6" bestFit="1" customWidth="1"/>
    <col min="10" max="10" width="7.7109375" bestFit="1" customWidth="1"/>
    <col min="11" max="11" width="8" bestFit="1" customWidth="1"/>
    <col min="12" max="12" width="8.7109375" bestFit="1" customWidth="1"/>
    <col min="13" max="13" width="8.140625" bestFit="1" customWidth="1"/>
    <col min="14" max="14" width="8.42578125" bestFit="1" customWidth="1"/>
    <col min="15" max="15" width="9.140625" bestFit="1" customWidth="1"/>
    <col min="16" max="16" width="8" bestFit="1" customWidth="1"/>
    <col min="17" max="17" width="8.28515625" bestFit="1" customWidth="1"/>
    <col min="18" max="19" width="9" bestFit="1" customWidth="1"/>
    <col min="20" max="20" width="34.5703125" bestFit="1" customWidth="1"/>
    <col min="21" max="21" width="31.42578125" bestFit="1" customWidth="1"/>
    <col min="22" max="22" width="24" bestFit="1" customWidth="1"/>
    <col min="23" max="23" width="8.28515625" bestFit="1" customWidth="1"/>
    <col min="24" max="24" width="7.5703125" bestFit="1" customWidth="1"/>
    <col min="25" max="25" width="5" bestFit="1" customWidth="1"/>
    <col min="26" max="26" width="6.140625" bestFit="1" customWidth="1"/>
  </cols>
  <sheetData>
    <row r="1" spans="1:24" x14ac:dyDescent="0.25">
      <c r="A1" t="s">
        <v>99</v>
      </c>
      <c r="B1" t="s">
        <v>91</v>
      </c>
      <c r="C1" t="s">
        <v>107</v>
      </c>
      <c r="D1" t="s">
        <v>104</v>
      </c>
      <c r="E1" t="s">
        <v>92</v>
      </c>
      <c r="F1" t="s">
        <v>89</v>
      </c>
      <c r="G1" t="s">
        <v>90</v>
      </c>
      <c r="H1" t="s">
        <v>105</v>
      </c>
      <c r="I1" t="s">
        <v>100</v>
      </c>
      <c r="J1" t="s">
        <v>106</v>
      </c>
      <c r="K1" t="s">
        <v>94</v>
      </c>
      <c r="L1" t="s">
        <v>101</v>
      </c>
      <c r="M1" t="s">
        <v>109</v>
      </c>
      <c r="N1" t="s">
        <v>110</v>
      </c>
      <c r="O1" t="s">
        <v>98</v>
      </c>
      <c r="P1" t="s">
        <v>95</v>
      </c>
      <c r="Q1" t="s">
        <v>96</v>
      </c>
      <c r="R1" t="s">
        <v>97</v>
      </c>
      <c r="S1" t="s">
        <v>102</v>
      </c>
      <c r="T1" t="s">
        <v>103</v>
      </c>
      <c r="U1" t="s">
        <v>108</v>
      </c>
      <c r="V1" t="s">
        <v>93</v>
      </c>
      <c r="W1" t="s">
        <v>2151</v>
      </c>
      <c r="X1" t="s">
        <v>111</v>
      </c>
    </row>
    <row r="2" spans="1:24" x14ac:dyDescent="0.25">
      <c r="A2">
        <v>1</v>
      </c>
      <c r="B2" t="s">
        <v>113</v>
      </c>
      <c r="C2">
        <v>2</v>
      </c>
      <c r="D2">
        <v>2</v>
      </c>
      <c r="E2">
        <v>5</v>
      </c>
      <c r="F2">
        <v>0</v>
      </c>
      <c r="G2" t="s">
        <v>112</v>
      </c>
      <c r="H2">
        <v>4</v>
      </c>
      <c r="I2" t="s">
        <v>112</v>
      </c>
      <c r="J2">
        <v>52</v>
      </c>
      <c r="K2">
        <v>144</v>
      </c>
      <c r="L2">
        <v>1</v>
      </c>
      <c r="M2">
        <v>57</v>
      </c>
      <c r="N2">
        <v>71</v>
      </c>
      <c r="O2">
        <v>1</v>
      </c>
      <c r="P2">
        <v>8</v>
      </c>
      <c r="Q2">
        <v>13</v>
      </c>
      <c r="R2">
        <v>1</v>
      </c>
      <c r="S2">
        <v>1500000</v>
      </c>
      <c r="T2" t="s">
        <v>114</v>
      </c>
      <c r="U2" t="s">
        <v>115</v>
      </c>
      <c r="W2">
        <v>100</v>
      </c>
      <c r="X2" t="b">
        <v>0</v>
      </c>
    </row>
    <row r="3" spans="1:24" x14ac:dyDescent="0.25">
      <c r="A3">
        <v>2</v>
      </c>
      <c r="B3" t="s">
        <v>116</v>
      </c>
      <c r="C3">
        <v>3</v>
      </c>
      <c r="D3">
        <v>4</v>
      </c>
      <c r="E3">
        <v>15</v>
      </c>
      <c r="F3">
        <v>0</v>
      </c>
      <c r="G3" t="s">
        <v>112</v>
      </c>
      <c r="H3">
        <v>4</v>
      </c>
      <c r="I3" t="s">
        <v>112</v>
      </c>
      <c r="J3">
        <v>115</v>
      </c>
      <c r="K3">
        <v>490</v>
      </c>
      <c r="L3">
        <v>1</v>
      </c>
      <c r="M3">
        <v>64</v>
      </c>
      <c r="N3">
        <v>231</v>
      </c>
      <c r="O3">
        <v>1</v>
      </c>
      <c r="P3">
        <v>12</v>
      </c>
      <c r="Q3">
        <v>50</v>
      </c>
      <c r="R3">
        <v>1</v>
      </c>
      <c r="S3">
        <v>1500000</v>
      </c>
      <c r="T3" t="s">
        <v>114</v>
      </c>
      <c r="U3" t="s">
        <v>115</v>
      </c>
      <c r="W3">
        <v>175</v>
      </c>
      <c r="X3" t="b">
        <v>0</v>
      </c>
    </row>
    <row r="4" spans="1:24" x14ac:dyDescent="0.25">
      <c r="A4">
        <v>3</v>
      </c>
      <c r="B4" t="s">
        <v>117</v>
      </c>
      <c r="C4">
        <v>4</v>
      </c>
      <c r="D4">
        <v>6</v>
      </c>
      <c r="E4">
        <v>35</v>
      </c>
      <c r="F4">
        <v>0</v>
      </c>
      <c r="G4" t="s">
        <v>112</v>
      </c>
      <c r="H4">
        <v>4</v>
      </c>
      <c r="I4" t="s">
        <v>112</v>
      </c>
      <c r="J4">
        <v>392</v>
      </c>
      <c r="K4">
        <v>971</v>
      </c>
      <c r="L4">
        <v>1</v>
      </c>
      <c r="M4">
        <v>208</v>
      </c>
      <c r="N4">
        <v>508</v>
      </c>
      <c r="O4">
        <v>1</v>
      </c>
      <c r="P4">
        <v>45</v>
      </c>
      <c r="Q4">
        <v>111</v>
      </c>
      <c r="R4">
        <v>1</v>
      </c>
      <c r="S4">
        <v>1500000</v>
      </c>
      <c r="T4" t="s">
        <v>114</v>
      </c>
      <c r="U4" t="s">
        <v>118</v>
      </c>
      <c r="W4">
        <v>375</v>
      </c>
      <c r="X4" t="b">
        <v>0</v>
      </c>
    </row>
    <row r="5" spans="1:24" x14ac:dyDescent="0.25">
      <c r="A5">
        <v>4</v>
      </c>
      <c r="B5" t="s">
        <v>119</v>
      </c>
      <c r="C5">
        <v>5</v>
      </c>
      <c r="D5">
        <v>10</v>
      </c>
      <c r="E5">
        <v>99</v>
      </c>
      <c r="F5">
        <v>0</v>
      </c>
      <c r="G5" t="s">
        <v>112</v>
      </c>
      <c r="H5">
        <v>4</v>
      </c>
      <c r="I5" t="s">
        <v>112</v>
      </c>
      <c r="J5">
        <v>777</v>
      </c>
      <c r="K5">
        <v>2145</v>
      </c>
      <c r="L5">
        <v>1</v>
      </c>
      <c r="M5">
        <v>457</v>
      </c>
      <c r="N5">
        <v>1114</v>
      </c>
      <c r="O5">
        <v>1</v>
      </c>
      <c r="P5">
        <v>100</v>
      </c>
      <c r="Q5">
        <v>231</v>
      </c>
      <c r="R5">
        <v>1</v>
      </c>
      <c r="S5">
        <v>1500000</v>
      </c>
      <c r="T5" t="s">
        <v>121</v>
      </c>
      <c r="U5" t="s">
        <v>118</v>
      </c>
      <c r="V5" t="s">
        <v>120</v>
      </c>
      <c r="W5">
        <v>562.5</v>
      </c>
      <c r="X5" t="b">
        <v>0</v>
      </c>
    </row>
    <row r="6" spans="1:24" x14ac:dyDescent="0.25">
      <c r="A6">
        <v>5</v>
      </c>
      <c r="B6" t="s">
        <v>122</v>
      </c>
      <c r="C6">
        <v>2</v>
      </c>
      <c r="D6">
        <v>2</v>
      </c>
      <c r="E6">
        <v>5</v>
      </c>
      <c r="F6">
        <v>1</v>
      </c>
      <c r="G6" t="s">
        <v>112</v>
      </c>
      <c r="H6">
        <v>4</v>
      </c>
      <c r="I6" t="s">
        <v>112</v>
      </c>
      <c r="J6">
        <v>62</v>
      </c>
      <c r="K6">
        <v>155</v>
      </c>
      <c r="L6">
        <v>1</v>
      </c>
      <c r="M6">
        <v>42</v>
      </c>
      <c r="N6">
        <v>62</v>
      </c>
      <c r="O6">
        <v>1</v>
      </c>
      <c r="P6">
        <v>11</v>
      </c>
      <c r="Q6">
        <v>18</v>
      </c>
      <c r="R6">
        <v>1</v>
      </c>
      <c r="S6">
        <v>1500000</v>
      </c>
      <c r="T6" t="s">
        <v>123</v>
      </c>
      <c r="U6" t="s">
        <v>124</v>
      </c>
      <c r="W6">
        <v>100</v>
      </c>
      <c r="X6" t="b">
        <v>0</v>
      </c>
    </row>
    <row r="7" spans="1:24" x14ac:dyDescent="0.25">
      <c r="A7">
        <v>6</v>
      </c>
      <c r="B7" t="s">
        <v>125</v>
      </c>
      <c r="C7">
        <v>3</v>
      </c>
      <c r="D7">
        <v>4</v>
      </c>
      <c r="E7">
        <v>15</v>
      </c>
      <c r="F7">
        <v>1</v>
      </c>
      <c r="G7" t="s">
        <v>112</v>
      </c>
      <c r="H7">
        <v>4</v>
      </c>
      <c r="I7" t="s">
        <v>112</v>
      </c>
      <c r="J7">
        <v>124</v>
      </c>
      <c r="K7">
        <v>518</v>
      </c>
      <c r="L7">
        <v>1</v>
      </c>
      <c r="M7">
        <v>56</v>
      </c>
      <c r="N7">
        <v>210</v>
      </c>
      <c r="O7">
        <v>1</v>
      </c>
      <c r="P7">
        <v>16</v>
      </c>
      <c r="Q7">
        <v>60</v>
      </c>
      <c r="R7">
        <v>1</v>
      </c>
      <c r="S7">
        <v>1500000</v>
      </c>
      <c r="T7" t="s">
        <v>123</v>
      </c>
      <c r="U7" t="s">
        <v>124</v>
      </c>
      <c r="W7">
        <v>175</v>
      </c>
      <c r="X7" t="b">
        <v>0</v>
      </c>
    </row>
    <row r="8" spans="1:24" x14ac:dyDescent="0.25">
      <c r="A8">
        <v>7</v>
      </c>
      <c r="B8" t="s">
        <v>126</v>
      </c>
      <c r="C8">
        <v>4</v>
      </c>
      <c r="D8">
        <v>6</v>
      </c>
      <c r="E8">
        <v>35</v>
      </c>
      <c r="F8">
        <v>1</v>
      </c>
      <c r="G8" t="s">
        <v>112</v>
      </c>
      <c r="H8">
        <v>4</v>
      </c>
      <c r="I8" t="s">
        <v>112</v>
      </c>
      <c r="J8">
        <v>414</v>
      </c>
      <c r="K8">
        <v>998</v>
      </c>
      <c r="L8">
        <v>1</v>
      </c>
      <c r="M8">
        <v>189</v>
      </c>
      <c r="N8">
        <v>477</v>
      </c>
      <c r="O8">
        <v>1</v>
      </c>
      <c r="P8">
        <v>54</v>
      </c>
      <c r="Q8">
        <v>128</v>
      </c>
      <c r="R8">
        <v>1</v>
      </c>
      <c r="S8">
        <v>1500000</v>
      </c>
      <c r="T8" t="s">
        <v>123</v>
      </c>
      <c r="U8" t="s">
        <v>127</v>
      </c>
      <c r="W8">
        <v>375</v>
      </c>
      <c r="X8" t="b">
        <v>0</v>
      </c>
    </row>
    <row r="9" spans="1:24" x14ac:dyDescent="0.25">
      <c r="A9">
        <v>8</v>
      </c>
      <c r="B9" t="s">
        <v>128</v>
      </c>
      <c r="C9">
        <v>5</v>
      </c>
      <c r="D9">
        <v>10</v>
      </c>
      <c r="E9">
        <v>99</v>
      </c>
      <c r="F9">
        <v>1</v>
      </c>
      <c r="G9" t="s">
        <v>112</v>
      </c>
      <c r="H9">
        <v>4</v>
      </c>
      <c r="I9" t="s">
        <v>112</v>
      </c>
      <c r="J9">
        <v>798</v>
      </c>
      <c r="K9">
        <v>2195</v>
      </c>
      <c r="L9">
        <v>1</v>
      </c>
      <c r="M9">
        <v>429</v>
      </c>
      <c r="N9">
        <v>1056</v>
      </c>
      <c r="O9">
        <v>1</v>
      </c>
      <c r="P9">
        <v>115</v>
      </c>
      <c r="Q9">
        <v>264</v>
      </c>
      <c r="R9">
        <v>1</v>
      </c>
      <c r="S9">
        <v>1500000</v>
      </c>
      <c r="T9" t="s">
        <v>129</v>
      </c>
      <c r="U9" t="s">
        <v>127</v>
      </c>
      <c r="V9" t="s">
        <v>120</v>
      </c>
      <c r="W9">
        <v>562.5</v>
      </c>
      <c r="X9" t="b">
        <v>0</v>
      </c>
    </row>
    <row r="10" spans="1:24" x14ac:dyDescent="0.25">
      <c r="A10">
        <v>9</v>
      </c>
      <c r="B10" t="s">
        <v>130</v>
      </c>
      <c r="C10">
        <v>2</v>
      </c>
      <c r="D10">
        <v>2</v>
      </c>
      <c r="E10">
        <v>5</v>
      </c>
      <c r="F10">
        <v>2</v>
      </c>
      <c r="G10" t="s">
        <v>112</v>
      </c>
      <c r="H10">
        <v>4</v>
      </c>
      <c r="I10" t="s">
        <v>112</v>
      </c>
      <c r="J10">
        <v>67</v>
      </c>
      <c r="K10">
        <v>168</v>
      </c>
      <c r="L10">
        <v>1</v>
      </c>
      <c r="M10">
        <v>32</v>
      </c>
      <c r="N10">
        <v>59</v>
      </c>
      <c r="O10">
        <v>1</v>
      </c>
      <c r="P10">
        <v>13</v>
      </c>
      <c r="Q10">
        <v>22</v>
      </c>
      <c r="R10">
        <v>1</v>
      </c>
      <c r="S10">
        <v>1500000</v>
      </c>
      <c r="T10" t="s">
        <v>131</v>
      </c>
      <c r="U10" t="s">
        <v>132</v>
      </c>
      <c r="W10">
        <v>100</v>
      </c>
      <c r="X10" t="b">
        <v>0</v>
      </c>
    </row>
    <row r="11" spans="1:24" x14ac:dyDescent="0.25">
      <c r="A11">
        <v>10</v>
      </c>
      <c r="B11" t="s">
        <v>133</v>
      </c>
      <c r="C11">
        <v>3</v>
      </c>
      <c r="D11">
        <v>4</v>
      </c>
      <c r="E11">
        <v>15</v>
      </c>
      <c r="F11">
        <v>2</v>
      </c>
      <c r="G11" t="s">
        <v>112</v>
      </c>
      <c r="H11">
        <v>4</v>
      </c>
      <c r="I11" t="s">
        <v>112</v>
      </c>
      <c r="J11">
        <v>134</v>
      </c>
      <c r="K11">
        <v>555</v>
      </c>
      <c r="L11">
        <v>1</v>
      </c>
      <c r="M11">
        <v>53</v>
      </c>
      <c r="N11">
        <v>208</v>
      </c>
      <c r="O11">
        <v>1</v>
      </c>
      <c r="P11">
        <v>20</v>
      </c>
      <c r="Q11">
        <v>75</v>
      </c>
      <c r="R11">
        <v>1</v>
      </c>
      <c r="S11">
        <v>1500000</v>
      </c>
      <c r="T11" t="s">
        <v>131</v>
      </c>
      <c r="U11" t="s">
        <v>132</v>
      </c>
      <c r="W11">
        <v>175</v>
      </c>
      <c r="X11" t="b">
        <v>0</v>
      </c>
    </row>
    <row r="12" spans="1:24" x14ac:dyDescent="0.25">
      <c r="A12">
        <v>11</v>
      </c>
      <c r="B12" t="s">
        <v>134</v>
      </c>
      <c r="C12">
        <v>4</v>
      </c>
      <c r="D12">
        <v>6</v>
      </c>
      <c r="E12">
        <v>35</v>
      </c>
      <c r="F12">
        <v>2</v>
      </c>
      <c r="G12" t="s">
        <v>112</v>
      </c>
      <c r="H12">
        <v>4</v>
      </c>
      <c r="I12" t="s">
        <v>112</v>
      </c>
      <c r="J12">
        <v>444</v>
      </c>
      <c r="K12">
        <v>1015</v>
      </c>
      <c r="L12">
        <v>1</v>
      </c>
      <c r="M12">
        <v>187</v>
      </c>
      <c r="N12">
        <v>464</v>
      </c>
      <c r="O12">
        <v>1</v>
      </c>
      <c r="P12">
        <v>68</v>
      </c>
      <c r="Q12">
        <v>140</v>
      </c>
      <c r="R12">
        <v>1</v>
      </c>
      <c r="S12">
        <v>1500000</v>
      </c>
      <c r="T12" t="s">
        <v>131</v>
      </c>
      <c r="U12" t="s">
        <v>135</v>
      </c>
      <c r="W12">
        <v>375</v>
      </c>
      <c r="X12" t="b">
        <v>0</v>
      </c>
    </row>
    <row r="13" spans="1:24" x14ac:dyDescent="0.25">
      <c r="A13">
        <v>12</v>
      </c>
      <c r="B13" t="s">
        <v>136</v>
      </c>
      <c r="C13">
        <v>5</v>
      </c>
      <c r="D13">
        <v>10</v>
      </c>
      <c r="E13">
        <v>99</v>
      </c>
      <c r="F13">
        <v>2</v>
      </c>
      <c r="G13" t="s">
        <v>112</v>
      </c>
      <c r="H13">
        <v>4</v>
      </c>
      <c r="I13" t="s">
        <v>112</v>
      </c>
      <c r="J13">
        <v>812</v>
      </c>
      <c r="K13">
        <v>2228</v>
      </c>
      <c r="L13">
        <v>1</v>
      </c>
      <c r="M13">
        <v>418</v>
      </c>
      <c r="N13">
        <v>1031</v>
      </c>
      <c r="O13">
        <v>1</v>
      </c>
      <c r="P13">
        <v>126</v>
      </c>
      <c r="Q13">
        <v>286</v>
      </c>
      <c r="R13">
        <v>1</v>
      </c>
      <c r="S13">
        <v>1500000</v>
      </c>
      <c r="T13" t="s">
        <v>137</v>
      </c>
      <c r="U13" t="s">
        <v>135</v>
      </c>
      <c r="V13" t="s">
        <v>120</v>
      </c>
      <c r="W13">
        <v>562.5</v>
      </c>
      <c r="X13" t="b">
        <v>0</v>
      </c>
    </row>
    <row r="14" spans="1:24" x14ac:dyDescent="0.25">
      <c r="A14">
        <v>13</v>
      </c>
      <c r="B14" t="s">
        <v>138</v>
      </c>
      <c r="C14">
        <v>2</v>
      </c>
      <c r="D14">
        <v>2</v>
      </c>
      <c r="E14">
        <v>5</v>
      </c>
      <c r="F14">
        <v>3</v>
      </c>
      <c r="G14" t="s">
        <v>112</v>
      </c>
      <c r="H14">
        <v>4</v>
      </c>
      <c r="I14" t="s">
        <v>112</v>
      </c>
      <c r="J14">
        <v>47</v>
      </c>
      <c r="K14">
        <v>138</v>
      </c>
      <c r="L14">
        <v>1</v>
      </c>
      <c r="M14">
        <v>52</v>
      </c>
      <c r="N14">
        <v>65</v>
      </c>
      <c r="O14">
        <v>1</v>
      </c>
      <c r="P14">
        <v>9</v>
      </c>
      <c r="Q14">
        <v>15</v>
      </c>
      <c r="R14">
        <v>1</v>
      </c>
      <c r="S14">
        <v>1500000</v>
      </c>
      <c r="T14" t="s">
        <v>139</v>
      </c>
      <c r="U14" t="s">
        <v>140</v>
      </c>
      <c r="W14">
        <v>100</v>
      </c>
      <c r="X14" t="b">
        <v>0</v>
      </c>
    </row>
    <row r="15" spans="1:24" x14ac:dyDescent="0.25">
      <c r="A15">
        <v>14</v>
      </c>
      <c r="B15" t="s">
        <v>141</v>
      </c>
      <c r="C15">
        <v>3</v>
      </c>
      <c r="D15">
        <v>4</v>
      </c>
      <c r="E15">
        <v>15</v>
      </c>
      <c r="F15">
        <v>3</v>
      </c>
      <c r="G15" t="s">
        <v>112</v>
      </c>
      <c r="H15">
        <v>4</v>
      </c>
      <c r="I15" t="s">
        <v>112</v>
      </c>
      <c r="J15">
        <v>110</v>
      </c>
      <c r="K15">
        <v>460</v>
      </c>
      <c r="L15">
        <v>1</v>
      </c>
      <c r="M15">
        <v>59</v>
      </c>
      <c r="N15">
        <v>221</v>
      </c>
      <c r="O15">
        <v>1</v>
      </c>
      <c r="P15">
        <v>14</v>
      </c>
      <c r="Q15">
        <v>55</v>
      </c>
      <c r="R15">
        <v>1</v>
      </c>
      <c r="S15">
        <v>1500000</v>
      </c>
      <c r="T15" t="s">
        <v>139</v>
      </c>
      <c r="U15" t="s">
        <v>140</v>
      </c>
      <c r="W15">
        <v>175</v>
      </c>
      <c r="X15" t="b">
        <v>0</v>
      </c>
    </row>
    <row r="16" spans="1:24" x14ac:dyDescent="0.25">
      <c r="A16">
        <v>15</v>
      </c>
      <c r="B16" t="s">
        <v>142</v>
      </c>
      <c r="C16">
        <v>4</v>
      </c>
      <c r="D16">
        <v>6</v>
      </c>
      <c r="E16">
        <v>35</v>
      </c>
      <c r="F16">
        <v>3</v>
      </c>
      <c r="G16" t="s">
        <v>112</v>
      </c>
      <c r="H16">
        <v>4</v>
      </c>
      <c r="I16" t="s">
        <v>112</v>
      </c>
      <c r="J16">
        <v>368</v>
      </c>
      <c r="K16">
        <v>928</v>
      </c>
      <c r="L16">
        <v>1</v>
      </c>
      <c r="M16">
        <v>199</v>
      </c>
      <c r="N16">
        <v>486</v>
      </c>
      <c r="O16">
        <v>1</v>
      </c>
      <c r="P16">
        <v>50</v>
      </c>
      <c r="Q16">
        <v>117</v>
      </c>
      <c r="R16">
        <v>1</v>
      </c>
      <c r="S16">
        <v>1500000</v>
      </c>
      <c r="T16" t="s">
        <v>139</v>
      </c>
      <c r="U16" t="s">
        <v>143</v>
      </c>
      <c r="W16">
        <v>375</v>
      </c>
      <c r="X16" t="b">
        <v>0</v>
      </c>
    </row>
    <row r="17" spans="1:24" x14ac:dyDescent="0.25">
      <c r="A17">
        <v>16</v>
      </c>
      <c r="B17" t="s">
        <v>144</v>
      </c>
      <c r="C17">
        <v>5</v>
      </c>
      <c r="D17">
        <v>10</v>
      </c>
      <c r="E17">
        <v>99</v>
      </c>
      <c r="F17">
        <v>3</v>
      </c>
      <c r="G17" t="s">
        <v>112</v>
      </c>
      <c r="H17">
        <v>4</v>
      </c>
      <c r="I17" t="s">
        <v>112</v>
      </c>
      <c r="J17">
        <v>742</v>
      </c>
      <c r="K17">
        <v>2063</v>
      </c>
      <c r="L17">
        <v>1</v>
      </c>
      <c r="M17">
        <v>437</v>
      </c>
      <c r="N17">
        <v>1073</v>
      </c>
      <c r="O17">
        <v>1</v>
      </c>
      <c r="P17">
        <v>105</v>
      </c>
      <c r="Q17">
        <v>253</v>
      </c>
      <c r="R17">
        <v>1</v>
      </c>
      <c r="S17">
        <v>1500000</v>
      </c>
      <c r="T17" t="s">
        <v>145</v>
      </c>
      <c r="U17" t="s">
        <v>143</v>
      </c>
      <c r="V17" t="s">
        <v>120</v>
      </c>
      <c r="W17">
        <v>562.5</v>
      </c>
      <c r="X17" t="b">
        <v>0</v>
      </c>
    </row>
    <row r="18" spans="1:24" x14ac:dyDescent="0.25">
      <c r="A18">
        <v>17</v>
      </c>
      <c r="B18" t="s">
        <v>146</v>
      </c>
      <c r="C18">
        <v>2</v>
      </c>
      <c r="D18">
        <v>2</v>
      </c>
      <c r="E18">
        <v>5</v>
      </c>
      <c r="F18">
        <v>4</v>
      </c>
      <c r="G18" t="s">
        <v>112</v>
      </c>
      <c r="H18">
        <v>4</v>
      </c>
      <c r="I18" t="s">
        <v>112</v>
      </c>
      <c r="J18">
        <v>42</v>
      </c>
      <c r="K18">
        <v>129</v>
      </c>
      <c r="L18">
        <v>1</v>
      </c>
      <c r="M18">
        <v>62</v>
      </c>
      <c r="N18">
        <v>78</v>
      </c>
      <c r="O18">
        <v>1</v>
      </c>
      <c r="P18">
        <v>7</v>
      </c>
      <c r="Q18">
        <v>12</v>
      </c>
      <c r="R18">
        <v>1</v>
      </c>
      <c r="S18">
        <v>1500000</v>
      </c>
      <c r="T18" t="s">
        <v>147</v>
      </c>
      <c r="U18" t="s">
        <v>148</v>
      </c>
      <c r="W18">
        <v>100</v>
      </c>
      <c r="X18" t="b">
        <v>0</v>
      </c>
    </row>
    <row r="19" spans="1:24" x14ac:dyDescent="0.25">
      <c r="A19">
        <v>18</v>
      </c>
      <c r="B19" t="s">
        <v>149</v>
      </c>
      <c r="C19">
        <v>3</v>
      </c>
      <c r="D19">
        <v>4</v>
      </c>
      <c r="E19">
        <v>15</v>
      </c>
      <c r="F19">
        <v>4</v>
      </c>
      <c r="G19" t="s">
        <v>112</v>
      </c>
      <c r="H19">
        <v>4</v>
      </c>
      <c r="I19" t="s">
        <v>112</v>
      </c>
      <c r="J19">
        <v>103</v>
      </c>
      <c r="K19">
        <v>447</v>
      </c>
      <c r="L19">
        <v>1</v>
      </c>
      <c r="M19">
        <v>70</v>
      </c>
      <c r="N19">
        <v>236</v>
      </c>
      <c r="O19">
        <v>1</v>
      </c>
      <c r="P19">
        <v>11</v>
      </c>
      <c r="Q19">
        <v>45</v>
      </c>
      <c r="R19">
        <v>1</v>
      </c>
      <c r="S19">
        <v>1500000</v>
      </c>
      <c r="T19" t="s">
        <v>147</v>
      </c>
      <c r="U19" t="s">
        <v>148</v>
      </c>
      <c r="W19">
        <v>175</v>
      </c>
      <c r="X19" t="b">
        <v>0</v>
      </c>
    </row>
    <row r="20" spans="1:24" x14ac:dyDescent="0.25">
      <c r="A20">
        <v>19</v>
      </c>
      <c r="B20" t="s">
        <v>150</v>
      </c>
      <c r="C20">
        <v>4</v>
      </c>
      <c r="D20">
        <v>6</v>
      </c>
      <c r="E20">
        <v>35</v>
      </c>
      <c r="F20">
        <v>4</v>
      </c>
      <c r="G20" t="s">
        <v>112</v>
      </c>
      <c r="H20">
        <v>4</v>
      </c>
      <c r="I20" t="s">
        <v>112</v>
      </c>
      <c r="J20">
        <v>358</v>
      </c>
      <c r="K20">
        <v>954</v>
      </c>
      <c r="L20">
        <v>1</v>
      </c>
      <c r="M20">
        <v>212</v>
      </c>
      <c r="N20">
        <v>499</v>
      </c>
      <c r="O20">
        <v>1</v>
      </c>
      <c r="P20">
        <v>41</v>
      </c>
      <c r="Q20">
        <v>105</v>
      </c>
      <c r="R20">
        <v>1</v>
      </c>
      <c r="S20">
        <v>1500000</v>
      </c>
      <c r="T20" t="s">
        <v>147</v>
      </c>
      <c r="U20" t="s">
        <v>151</v>
      </c>
      <c r="W20">
        <v>375</v>
      </c>
      <c r="X20" t="b">
        <v>0</v>
      </c>
    </row>
    <row r="21" spans="1:24" x14ac:dyDescent="0.25">
      <c r="A21">
        <v>20</v>
      </c>
      <c r="B21" t="s">
        <v>152</v>
      </c>
      <c r="C21">
        <v>5</v>
      </c>
      <c r="D21">
        <v>10</v>
      </c>
      <c r="E21">
        <v>99</v>
      </c>
      <c r="F21">
        <v>4</v>
      </c>
      <c r="G21" t="s">
        <v>112</v>
      </c>
      <c r="H21">
        <v>4</v>
      </c>
      <c r="I21" t="s">
        <v>112</v>
      </c>
      <c r="J21">
        <v>763</v>
      </c>
      <c r="K21">
        <v>2112</v>
      </c>
      <c r="L21">
        <v>1</v>
      </c>
      <c r="M21">
        <v>449</v>
      </c>
      <c r="N21">
        <v>1097</v>
      </c>
      <c r="O21">
        <v>1</v>
      </c>
      <c r="P21">
        <v>95</v>
      </c>
      <c r="Q21">
        <v>220</v>
      </c>
      <c r="R21">
        <v>1</v>
      </c>
      <c r="S21">
        <v>1500000</v>
      </c>
      <c r="T21" t="s">
        <v>153</v>
      </c>
      <c r="U21" t="s">
        <v>151</v>
      </c>
      <c r="V21" t="s">
        <v>120</v>
      </c>
      <c r="W21">
        <v>562.5</v>
      </c>
      <c r="X21" t="b">
        <v>0</v>
      </c>
    </row>
    <row r="22" spans="1:24" x14ac:dyDescent="0.25">
      <c r="A22">
        <v>21</v>
      </c>
      <c r="B22" t="s">
        <v>154</v>
      </c>
      <c r="C22">
        <v>2</v>
      </c>
      <c r="D22">
        <v>2</v>
      </c>
      <c r="E22">
        <v>15</v>
      </c>
      <c r="F22">
        <v>0</v>
      </c>
      <c r="G22" t="s">
        <v>112</v>
      </c>
      <c r="H22">
        <v>4</v>
      </c>
      <c r="I22" t="s">
        <v>112</v>
      </c>
      <c r="J22">
        <v>32</v>
      </c>
      <c r="K22">
        <v>240</v>
      </c>
      <c r="L22">
        <v>1</v>
      </c>
      <c r="M22">
        <v>40</v>
      </c>
      <c r="N22">
        <v>150</v>
      </c>
      <c r="O22">
        <v>1</v>
      </c>
      <c r="P22">
        <v>9</v>
      </c>
      <c r="Q22">
        <v>45</v>
      </c>
      <c r="R22">
        <v>1</v>
      </c>
      <c r="S22">
        <v>1500000</v>
      </c>
      <c r="T22" t="s">
        <v>112</v>
      </c>
      <c r="U22" t="s">
        <v>155</v>
      </c>
      <c r="W22">
        <v>100</v>
      </c>
      <c r="X22" t="b">
        <v>0</v>
      </c>
    </row>
    <row r="23" spans="1:24" x14ac:dyDescent="0.25">
      <c r="A23">
        <v>22</v>
      </c>
      <c r="B23" t="s">
        <v>156</v>
      </c>
      <c r="C23">
        <v>3</v>
      </c>
      <c r="D23">
        <v>5</v>
      </c>
      <c r="E23">
        <v>25</v>
      </c>
      <c r="F23">
        <v>0</v>
      </c>
      <c r="G23" t="s">
        <v>112</v>
      </c>
      <c r="H23">
        <v>4</v>
      </c>
      <c r="I23" t="s">
        <v>112</v>
      </c>
      <c r="J23">
        <v>192</v>
      </c>
      <c r="K23">
        <v>545</v>
      </c>
      <c r="L23">
        <v>1</v>
      </c>
      <c r="M23">
        <v>135</v>
      </c>
      <c r="N23">
        <v>300</v>
      </c>
      <c r="O23">
        <v>1</v>
      </c>
      <c r="P23">
        <v>41</v>
      </c>
      <c r="Q23">
        <v>92</v>
      </c>
      <c r="R23">
        <v>1</v>
      </c>
      <c r="S23">
        <v>1500000</v>
      </c>
      <c r="T23" t="s">
        <v>157</v>
      </c>
      <c r="U23" t="s">
        <v>155</v>
      </c>
      <c r="W23">
        <v>300</v>
      </c>
      <c r="X23" t="b">
        <v>0</v>
      </c>
    </row>
    <row r="24" spans="1:24" x14ac:dyDescent="0.25">
      <c r="A24">
        <v>23</v>
      </c>
      <c r="B24" t="s">
        <v>158</v>
      </c>
      <c r="C24">
        <v>4</v>
      </c>
      <c r="D24">
        <v>11</v>
      </c>
      <c r="E24">
        <v>70</v>
      </c>
      <c r="F24">
        <v>0</v>
      </c>
      <c r="G24" t="s">
        <v>112</v>
      </c>
      <c r="H24">
        <v>4</v>
      </c>
      <c r="I24" t="s">
        <v>112</v>
      </c>
      <c r="J24">
        <v>436</v>
      </c>
      <c r="K24">
        <v>1412</v>
      </c>
      <c r="L24">
        <v>1</v>
      </c>
      <c r="M24">
        <v>270</v>
      </c>
      <c r="N24">
        <v>1056</v>
      </c>
      <c r="O24">
        <v>1</v>
      </c>
      <c r="P24">
        <v>83</v>
      </c>
      <c r="Q24">
        <v>93</v>
      </c>
      <c r="R24">
        <v>1</v>
      </c>
      <c r="S24">
        <v>1500000</v>
      </c>
      <c r="T24" t="s">
        <v>157</v>
      </c>
      <c r="U24" t="s">
        <v>159</v>
      </c>
      <c r="W24">
        <v>562.5</v>
      </c>
      <c r="X24" t="b">
        <v>0</v>
      </c>
    </row>
    <row r="25" spans="1:24" x14ac:dyDescent="0.25">
      <c r="A25">
        <v>24</v>
      </c>
      <c r="B25" t="s">
        <v>160</v>
      </c>
      <c r="C25">
        <v>2</v>
      </c>
      <c r="D25">
        <v>2</v>
      </c>
      <c r="E25">
        <v>15</v>
      </c>
      <c r="F25">
        <v>1</v>
      </c>
      <c r="G25" t="s">
        <v>112</v>
      </c>
      <c r="H25">
        <v>4</v>
      </c>
      <c r="I25" t="s">
        <v>112</v>
      </c>
      <c r="J25">
        <v>42</v>
      </c>
      <c r="K25">
        <v>315</v>
      </c>
      <c r="L25">
        <v>1</v>
      </c>
      <c r="M25">
        <v>32</v>
      </c>
      <c r="N25">
        <v>120</v>
      </c>
      <c r="O25">
        <v>1</v>
      </c>
      <c r="P25">
        <v>9</v>
      </c>
      <c r="Q25">
        <v>45</v>
      </c>
      <c r="R25">
        <v>1</v>
      </c>
      <c r="S25">
        <v>1500000</v>
      </c>
      <c r="T25" t="s">
        <v>112</v>
      </c>
      <c r="U25" t="s">
        <v>161</v>
      </c>
      <c r="W25">
        <v>100</v>
      </c>
      <c r="X25" t="b">
        <v>0</v>
      </c>
    </row>
    <row r="26" spans="1:24" x14ac:dyDescent="0.25">
      <c r="A26">
        <v>25</v>
      </c>
      <c r="B26" t="s">
        <v>162</v>
      </c>
      <c r="C26">
        <v>3</v>
      </c>
      <c r="D26">
        <v>5</v>
      </c>
      <c r="E26">
        <v>25</v>
      </c>
      <c r="F26">
        <v>1</v>
      </c>
      <c r="G26" t="s">
        <v>112</v>
      </c>
      <c r="H26">
        <v>4</v>
      </c>
      <c r="I26" t="s">
        <v>112</v>
      </c>
      <c r="J26">
        <v>252</v>
      </c>
      <c r="K26">
        <v>625</v>
      </c>
      <c r="L26">
        <v>1</v>
      </c>
      <c r="M26">
        <v>108</v>
      </c>
      <c r="N26">
        <v>272</v>
      </c>
      <c r="O26">
        <v>1</v>
      </c>
      <c r="P26">
        <v>41</v>
      </c>
      <c r="Q26">
        <v>92</v>
      </c>
      <c r="R26">
        <v>1</v>
      </c>
      <c r="S26">
        <v>1500000</v>
      </c>
      <c r="T26" t="s">
        <v>163</v>
      </c>
      <c r="U26" t="s">
        <v>161</v>
      </c>
      <c r="W26">
        <v>300</v>
      </c>
      <c r="X26" t="b">
        <v>0</v>
      </c>
    </row>
    <row r="27" spans="1:24" x14ac:dyDescent="0.25">
      <c r="A27">
        <v>26</v>
      </c>
      <c r="B27" t="s">
        <v>164</v>
      </c>
      <c r="C27">
        <v>4</v>
      </c>
      <c r="D27">
        <v>11</v>
      </c>
      <c r="E27">
        <v>70</v>
      </c>
      <c r="F27">
        <v>1</v>
      </c>
      <c r="G27" t="s">
        <v>112</v>
      </c>
      <c r="H27">
        <v>4</v>
      </c>
      <c r="I27" t="s">
        <v>112</v>
      </c>
      <c r="J27">
        <v>500</v>
      </c>
      <c r="K27">
        <v>1528</v>
      </c>
      <c r="L27">
        <v>1</v>
      </c>
      <c r="M27">
        <v>245</v>
      </c>
      <c r="N27">
        <v>1003</v>
      </c>
      <c r="O27">
        <v>1</v>
      </c>
      <c r="P27">
        <v>83</v>
      </c>
      <c r="Q27">
        <v>101</v>
      </c>
      <c r="R27">
        <v>1</v>
      </c>
      <c r="S27">
        <v>1500000</v>
      </c>
      <c r="T27" t="s">
        <v>163</v>
      </c>
      <c r="U27" t="s">
        <v>165</v>
      </c>
      <c r="W27">
        <v>562.5</v>
      </c>
      <c r="X27" t="b">
        <v>0</v>
      </c>
    </row>
    <row r="28" spans="1:24" x14ac:dyDescent="0.25">
      <c r="A28">
        <v>27</v>
      </c>
      <c r="B28" t="s">
        <v>166</v>
      </c>
      <c r="C28">
        <v>2</v>
      </c>
      <c r="D28">
        <v>2</v>
      </c>
      <c r="E28">
        <v>15</v>
      </c>
      <c r="F28">
        <v>2</v>
      </c>
      <c r="G28" t="s">
        <v>112</v>
      </c>
      <c r="H28">
        <v>4</v>
      </c>
      <c r="I28" t="s">
        <v>112</v>
      </c>
      <c r="J28">
        <v>40</v>
      </c>
      <c r="K28">
        <v>300</v>
      </c>
      <c r="L28">
        <v>1</v>
      </c>
      <c r="M28">
        <v>37</v>
      </c>
      <c r="N28">
        <v>139</v>
      </c>
      <c r="O28">
        <v>1</v>
      </c>
      <c r="P28">
        <v>10</v>
      </c>
      <c r="Q28">
        <v>50</v>
      </c>
      <c r="R28">
        <v>1</v>
      </c>
      <c r="S28">
        <v>1500000</v>
      </c>
      <c r="T28" t="s">
        <v>112</v>
      </c>
      <c r="U28" t="s">
        <v>167</v>
      </c>
      <c r="W28">
        <v>100</v>
      </c>
      <c r="X28" t="b">
        <v>0</v>
      </c>
    </row>
    <row r="29" spans="1:24" x14ac:dyDescent="0.25">
      <c r="A29">
        <v>28</v>
      </c>
      <c r="B29" t="s">
        <v>168</v>
      </c>
      <c r="C29">
        <v>3</v>
      </c>
      <c r="D29">
        <v>5</v>
      </c>
      <c r="E29">
        <v>25</v>
      </c>
      <c r="F29">
        <v>2</v>
      </c>
      <c r="G29" t="s">
        <v>112</v>
      </c>
      <c r="H29">
        <v>4</v>
      </c>
      <c r="I29" t="s">
        <v>112</v>
      </c>
      <c r="J29">
        <v>240</v>
      </c>
      <c r="K29">
        <v>600</v>
      </c>
      <c r="L29">
        <v>1</v>
      </c>
      <c r="M29">
        <v>125</v>
      </c>
      <c r="N29">
        <v>291</v>
      </c>
      <c r="O29">
        <v>1</v>
      </c>
      <c r="P29">
        <v>45</v>
      </c>
      <c r="Q29">
        <v>100</v>
      </c>
      <c r="R29">
        <v>1</v>
      </c>
      <c r="S29">
        <v>1500000</v>
      </c>
      <c r="T29" t="s">
        <v>169</v>
      </c>
      <c r="U29" t="s">
        <v>167</v>
      </c>
      <c r="W29">
        <v>300</v>
      </c>
      <c r="X29" t="b">
        <v>0</v>
      </c>
    </row>
    <row r="30" spans="1:24" x14ac:dyDescent="0.25">
      <c r="A30">
        <v>29</v>
      </c>
      <c r="B30" t="s">
        <v>170</v>
      </c>
      <c r="C30">
        <v>4</v>
      </c>
      <c r="D30">
        <v>11</v>
      </c>
      <c r="E30">
        <v>70</v>
      </c>
      <c r="F30">
        <v>2</v>
      </c>
      <c r="G30" t="s">
        <v>112</v>
      </c>
      <c r="H30">
        <v>4</v>
      </c>
      <c r="I30" t="s">
        <v>112</v>
      </c>
      <c r="J30">
        <v>480</v>
      </c>
      <c r="K30">
        <v>1505</v>
      </c>
      <c r="L30">
        <v>1</v>
      </c>
      <c r="M30">
        <v>262</v>
      </c>
      <c r="N30">
        <v>1015</v>
      </c>
      <c r="O30">
        <v>1</v>
      </c>
      <c r="P30">
        <v>90</v>
      </c>
      <c r="Q30">
        <v>109</v>
      </c>
      <c r="R30">
        <v>1</v>
      </c>
      <c r="S30">
        <v>1500000</v>
      </c>
      <c r="T30" t="s">
        <v>169</v>
      </c>
      <c r="U30" t="s">
        <v>171</v>
      </c>
      <c r="W30">
        <v>562.5</v>
      </c>
      <c r="X30" t="b">
        <v>0</v>
      </c>
    </row>
    <row r="31" spans="1:24" x14ac:dyDescent="0.25">
      <c r="A31">
        <v>30</v>
      </c>
      <c r="B31" t="s">
        <v>172</v>
      </c>
      <c r="C31">
        <v>2</v>
      </c>
      <c r="D31">
        <v>2</v>
      </c>
      <c r="E31">
        <v>15</v>
      </c>
      <c r="F31">
        <v>3</v>
      </c>
      <c r="G31" t="s">
        <v>112</v>
      </c>
      <c r="H31">
        <v>4</v>
      </c>
      <c r="I31" t="s">
        <v>112</v>
      </c>
      <c r="J31">
        <v>34</v>
      </c>
      <c r="K31">
        <v>255</v>
      </c>
      <c r="L31">
        <v>1</v>
      </c>
      <c r="M31">
        <v>34</v>
      </c>
      <c r="N31">
        <v>128</v>
      </c>
      <c r="O31">
        <v>1</v>
      </c>
      <c r="P31">
        <v>11</v>
      </c>
      <c r="Q31">
        <v>55</v>
      </c>
      <c r="R31">
        <v>1</v>
      </c>
      <c r="S31">
        <v>1500000</v>
      </c>
      <c r="T31" t="s">
        <v>112</v>
      </c>
      <c r="U31" t="s">
        <v>173</v>
      </c>
      <c r="W31">
        <v>100</v>
      </c>
      <c r="X31" t="b">
        <v>0</v>
      </c>
    </row>
    <row r="32" spans="1:24" x14ac:dyDescent="0.25">
      <c r="A32">
        <v>31</v>
      </c>
      <c r="B32" t="s">
        <v>174</v>
      </c>
      <c r="C32">
        <v>3</v>
      </c>
      <c r="D32">
        <v>5</v>
      </c>
      <c r="E32">
        <v>25</v>
      </c>
      <c r="F32">
        <v>3</v>
      </c>
      <c r="G32" t="s">
        <v>112</v>
      </c>
      <c r="H32">
        <v>4</v>
      </c>
      <c r="I32" t="s">
        <v>112</v>
      </c>
      <c r="J32">
        <v>204</v>
      </c>
      <c r="K32">
        <v>556</v>
      </c>
      <c r="L32">
        <v>1</v>
      </c>
      <c r="M32">
        <v>115</v>
      </c>
      <c r="N32">
        <v>283</v>
      </c>
      <c r="O32">
        <v>1</v>
      </c>
      <c r="P32">
        <v>50</v>
      </c>
      <c r="Q32">
        <v>108</v>
      </c>
      <c r="R32">
        <v>1</v>
      </c>
      <c r="S32">
        <v>1500000</v>
      </c>
      <c r="T32" t="s">
        <v>175</v>
      </c>
      <c r="U32" t="s">
        <v>173</v>
      </c>
      <c r="W32">
        <v>300</v>
      </c>
      <c r="X32" t="b">
        <v>0</v>
      </c>
    </row>
    <row r="33" spans="1:24" x14ac:dyDescent="0.25">
      <c r="A33">
        <v>32</v>
      </c>
      <c r="B33" t="s">
        <v>176</v>
      </c>
      <c r="C33">
        <v>4</v>
      </c>
      <c r="D33">
        <v>11</v>
      </c>
      <c r="E33">
        <v>70</v>
      </c>
      <c r="F33">
        <v>3</v>
      </c>
      <c r="G33" t="s">
        <v>112</v>
      </c>
      <c r="H33">
        <v>4</v>
      </c>
      <c r="I33" t="s">
        <v>112</v>
      </c>
      <c r="J33">
        <v>445</v>
      </c>
      <c r="K33">
        <v>1447</v>
      </c>
      <c r="L33">
        <v>1</v>
      </c>
      <c r="M33">
        <v>255</v>
      </c>
      <c r="N33">
        <v>1027</v>
      </c>
      <c r="O33">
        <v>1</v>
      </c>
      <c r="P33">
        <v>97</v>
      </c>
      <c r="Q33">
        <v>117</v>
      </c>
      <c r="R33">
        <v>1</v>
      </c>
      <c r="S33">
        <v>1500000</v>
      </c>
      <c r="T33" t="s">
        <v>175</v>
      </c>
      <c r="U33" t="s">
        <v>177</v>
      </c>
      <c r="W33">
        <v>562.5</v>
      </c>
      <c r="X33" t="b">
        <v>0</v>
      </c>
    </row>
    <row r="34" spans="1:24" x14ac:dyDescent="0.25">
      <c r="A34">
        <v>33</v>
      </c>
      <c r="B34" t="s">
        <v>178</v>
      </c>
      <c r="C34">
        <v>2</v>
      </c>
      <c r="D34">
        <v>2</v>
      </c>
      <c r="E34">
        <v>15</v>
      </c>
      <c r="F34">
        <v>4</v>
      </c>
      <c r="G34" t="s">
        <v>112</v>
      </c>
      <c r="H34">
        <v>4</v>
      </c>
      <c r="I34" t="s">
        <v>112</v>
      </c>
      <c r="J34">
        <v>37</v>
      </c>
      <c r="K34">
        <v>278</v>
      </c>
      <c r="L34">
        <v>1</v>
      </c>
      <c r="M34">
        <v>42</v>
      </c>
      <c r="N34">
        <v>158</v>
      </c>
      <c r="O34">
        <v>1</v>
      </c>
      <c r="P34">
        <v>9</v>
      </c>
      <c r="Q34">
        <v>45</v>
      </c>
      <c r="R34">
        <v>1</v>
      </c>
      <c r="S34">
        <v>1500000</v>
      </c>
      <c r="T34" t="s">
        <v>112</v>
      </c>
      <c r="U34" t="s">
        <v>179</v>
      </c>
      <c r="W34">
        <v>100</v>
      </c>
      <c r="X34" t="b">
        <v>0</v>
      </c>
    </row>
    <row r="35" spans="1:24" x14ac:dyDescent="0.25">
      <c r="A35">
        <v>34</v>
      </c>
      <c r="B35" t="s">
        <v>180</v>
      </c>
      <c r="C35">
        <v>3</v>
      </c>
      <c r="D35">
        <v>5</v>
      </c>
      <c r="E35">
        <v>25</v>
      </c>
      <c r="F35">
        <v>4</v>
      </c>
      <c r="G35" t="s">
        <v>112</v>
      </c>
      <c r="H35">
        <v>4</v>
      </c>
      <c r="I35" t="s">
        <v>112</v>
      </c>
      <c r="J35">
        <v>222</v>
      </c>
      <c r="K35">
        <v>563</v>
      </c>
      <c r="L35">
        <v>1</v>
      </c>
      <c r="M35">
        <v>142</v>
      </c>
      <c r="N35">
        <v>313</v>
      </c>
      <c r="O35">
        <v>1</v>
      </c>
      <c r="P35">
        <v>41</v>
      </c>
      <c r="Q35">
        <v>92</v>
      </c>
      <c r="R35">
        <v>1</v>
      </c>
      <c r="S35">
        <v>1500000</v>
      </c>
      <c r="T35" t="s">
        <v>181</v>
      </c>
      <c r="U35" t="s">
        <v>179</v>
      </c>
      <c r="W35">
        <v>300</v>
      </c>
      <c r="X35" t="b">
        <v>0</v>
      </c>
    </row>
    <row r="36" spans="1:24" x14ac:dyDescent="0.25">
      <c r="A36">
        <v>35</v>
      </c>
      <c r="B36" t="s">
        <v>182</v>
      </c>
      <c r="C36">
        <v>4</v>
      </c>
      <c r="D36">
        <v>11</v>
      </c>
      <c r="E36">
        <v>70</v>
      </c>
      <c r="F36">
        <v>4</v>
      </c>
      <c r="G36" t="s">
        <v>112</v>
      </c>
      <c r="H36">
        <v>4</v>
      </c>
      <c r="I36" t="s">
        <v>112</v>
      </c>
      <c r="J36">
        <v>450</v>
      </c>
      <c r="K36">
        <v>1470</v>
      </c>
      <c r="L36">
        <v>1</v>
      </c>
      <c r="M36">
        <v>282</v>
      </c>
      <c r="N36">
        <v>1044</v>
      </c>
      <c r="O36">
        <v>1</v>
      </c>
      <c r="P36">
        <v>83</v>
      </c>
      <c r="Q36">
        <v>86</v>
      </c>
      <c r="R36">
        <v>1</v>
      </c>
      <c r="S36">
        <v>1500000</v>
      </c>
      <c r="T36" t="s">
        <v>181</v>
      </c>
      <c r="U36" t="s">
        <v>183</v>
      </c>
      <c r="W36">
        <v>562.5</v>
      </c>
      <c r="X36" t="b">
        <v>0</v>
      </c>
    </row>
    <row r="37" spans="1:24" x14ac:dyDescent="0.25">
      <c r="A37">
        <v>36</v>
      </c>
      <c r="B37" t="s">
        <v>184</v>
      </c>
      <c r="C37">
        <v>1</v>
      </c>
      <c r="D37">
        <v>1</v>
      </c>
      <c r="E37">
        <v>10</v>
      </c>
      <c r="F37">
        <v>0</v>
      </c>
      <c r="G37" t="s">
        <v>112</v>
      </c>
      <c r="H37">
        <v>1</v>
      </c>
      <c r="I37" t="s">
        <v>112</v>
      </c>
      <c r="J37">
        <v>39</v>
      </c>
      <c r="K37">
        <v>195</v>
      </c>
      <c r="L37">
        <v>0.7</v>
      </c>
      <c r="M37">
        <v>42</v>
      </c>
      <c r="N37">
        <v>105</v>
      </c>
      <c r="O37">
        <v>0.7</v>
      </c>
      <c r="P37">
        <v>9</v>
      </c>
      <c r="Q37">
        <v>30</v>
      </c>
      <c r="R37">
        <v>0.7</v>
      </c>
      <c r="S37">
        <v>1000000</v>
      </c>
      <c r="T37" t="s">
        <v>112</v>
      </c>
      <c r="U37" t="s">
        <v>112</v>
      </c>
      <c r="W37">
        <v>50</v>
      </c>
      <c r="X37" t="b">
        <v>0</v>
      </c>
    </row>
    <row r="38" spans="1:24" x14ac:dyDescent="0.25">
      <c r="A38">
        <v>37</v>
      </c>
      <c r="B38" t="s">
        <v>185</v>
      </c>
      <c r="C38">
        <v>2</v>
      </c>
      <c r="D38">
        <v>3</v>
      </c>
      <c r="E38">
        <v>30</v>
      </c>
      <c r="F38">
        <v>0</v>
      </c>
      <c r="G38" t="s">
        <v>112</v>
      </c>
      <c r="H38">
        <v>1</v>
      </c>
      <c r="I38" t="s">
        <v>112</v>
      </c>
      <c r="J38">
        <v>156</v>
      </c>
      <c r="K38">
        <v>480</v>
      </c>
      <c r="L38">
        <v>0.7</v>
      </c>
      <c r="M38">
        <v>95</v>
      </c>
      <c r="N38">
        <v>323</v>
      </c>
      <c r="O38">
        <v>0.7</v>
      </c>
      <c r="P38">
        <v>27</v>
      </c>
      <c r="Q38">
        <v>50</v>
      </c>
      <c r="R38">
        <v>0.7</v>
      </c>
      <c r="S38">
        <v>1000000</v>
      </c>
      <c r="T38" t="s">
        <v>112</v>
      </c>
      <c r="U38" t="s">
        <v>186</v>
      </c>
      <c r="W38">
        <v>187.5</v>
      </c>
      <c r="X38" t="b">
        <v>0</v>
      </c>
    </row>
    <row r="39" spans="1:24" x14ac:dyDescent="0.25">
      <c r="A39">
        <v>38</v>
      </c>
      <c r="B39" t="s">
        <v>187</v>
      </c>
      <c r="C39">
        <v>1</v>
      </c>
      <c r="D39">
        <v>1</v>
      </c>
      <c r="E39">
        <v>10</v>
      </c>
      <c r="F39">
        <v>1</v>
      </c>
      <c r="G39" t="s">
        <v>112</v>
      </c>
      <c r="H39">
        <v>1</v>
      </c>
      <c r="I39" t="s">
        <v>112</v>
      </c>
      <c r="J39">
        <v>43</v>
      </c>
      <c r="K39">
        <v>215</v>
      </c>
      <c r="L39">
        <v>0.7</v>
      </c>
      <c r="M39">
        <v>37</v>
      </c>
      <c r="N39">
        <v>93</v>
      </c>
      <c r="O39">
        <v>0.7</v>
      </c>
      <c r="P39">
        <v>9</v>
      </c>
      <c r="Q39">
        <v>30</v>
      </c>
      <c r="R39">
        <v>0.7</v>
      </c>
      <c r="S39">
        <v>1000000</v>
      </c>
      <c r="T39" t="s">
        <v>112</v>
      </c>
      <c r="U39" t="s">
        <v>112</v>
      </c>
      <c r="W39">
        <v>50</v>
      </c>
      <c r="X39" t="b">
        <v>0</v>
      </c>
    </row>
    <row r="40" spans="1:24" x14ac:dyDescent="0.25">
      <c r="A40">
        <v>39</v>
      </c>
      <c r="B40" t="s">
        <v>188</v>
      </c>
      <c r="C40">
        <v>2</v>
      </c>
      <c r="D40">
        <v>3</v>
      </c>
      <c r="E40">
        <v>30</v>
      </c>
      <c r="F40">
        <v>1</v>
      </c>
      <c r="G40" t="s">
        <v>112</v>
      </c>
      <c r="H40">
        <v>1</v>
      </c>
      <c r="I40" t="s">
        <v>112</v>
      </c>
      <c r="J40">
        <v>172</v>
      </c>
      <c r="K40">
        <v>518</v>
      </c>
      <c r="L40">
        <v>0.7</v>
      </c>
      <c r="M40">
        <v>84</v>
      </c>
      <c r="N40">
        <v>296</v>
      </c>
      <c r="O40">
        <v>0.7</v>
      </c>
      <c r="P40">
        <v>27</v>
      </c>
      <c r="Q40">
        <v>55</v>
      </c>
      <c r="R40">
        <v>0.7</v>
      </c>
      <c r="S40">
        <v>1000000</v>
      </c>
      <c r="T40" t="s">
        <v>112</v>
      </c>
      <c r="U40" t="s">
        <v>189</v>
      </c>
      <c r="W40">
        <v>187.5</v>
      </c>
      <c r="X40" t="b">
        <v>0</v>
      </c>
    </row>
    <row r="41" spans="1:24" x14ac:dyDescent="0.25">
      <c r="A41">
        <v>40</v>
      </c>
      <c r="B41" t="s">
        <v>190</v>
      </c>
      <c r="C41">
        <v>1</v>
      </c>
      <c r="D41">
        <v>1</v>
      </c>
      <c r="E41">
        <v>10</v>
      </c>
      <c r="F41">
        <v>2</v>
      </c>
      <c r="G41" t="s">
        <v>112</v>
      </c>
      <c r="H41">
        <v>1</v>
      </c>
      <c r="I41" t="s">
        <v>112</v>
      </c>
      <c r="J41">
        <v>41</v>
      </c>
      <c r="K41">
        <v>205</v>
      </c>
      <c r="L41">
        <v>0.7</v>
      </c>
      <c r="M41">
        <v>36</v>
      </c>
      <c r="N41">
        <v>90</v>
      </c>
      <c r="O41">
        <v>0.7</v>
      </c>
      <c r="P41">
        <v>11</v>
      </c>
      <c r="Q41">
        <v>37</v>
      </c>
      <c r="R41">
        <v>0.7</v>
      </c>
      <c r="S41">
        <v>1000000</v>
      </c>
      <c r="T41" t="s">
        <v>112</v>
      </c>
      <c r="U41" t="s">
        <v>112</v>
      </c>
      <c r="W41">
        <v>50</v>
      </c>
      <c r="X41" t="b">
        <v>0</v>
      </c>
    </row>
    <row r="42" spans="1:24" x14ac:dyDescent="0.25">
      <c r="A42">
        <v>41</v>
      </c>
      <c r="B42" t="s">
        <v>191</v>
      </c>
      <c r="C42">
        <v>2</v>
      </c>
      <c r="D42">
        <v>3</v>
      </c>
      <c r="E42">
        <v>30</v>
      </c>
      <c r="F42">
        <v>2</v>
      </c>
      <c r="G42" t="s">
        <v>112</v>
      </c>
      <c r="H42">
        <v>1</v>
      </c>
      <c r="I42" t="s">
        <v>112</v>
      </c>
      <c r="J42">
        <v>164</v>
      </c>
      <c r="K42">
        <v>503</v>
      </c>
      <c r="L42">
        <v>0.7</v>
      </c>
      <c r="M42">
        <v>81</v>
      </c>
      <c r="N42">
        <v>311</v>
      </c>
      <c r="O42">
        <v>0.7</v>
      </c>
      <c r="P42">
        <v>33</v>
      </c>
      <c r="Q42">
        <v>65</v>
      </c>
      <c r="R42">
        <v>0.7</v>
      </c>
      <c r="S42">
        <v>1000000</v>
      </c>
      <c r="T42" t="s">
        <v>112</v>
      </c>
      <c r="U42" t="s">
        <v>192</v>
      </c>
      <c r="W42">
        <v>187.5</v>
      </c>
      <c r="X42" t="b">
        <v>0</v>
      </c>
    </row>
    <row r="43" spans="1:24" x14ac:dyDescent="0.25">
      <c r="A43">
        <v>42</v>
      </c>
      <c r="B43" t="s">
        <v>193</v>
      </c>
      <c r="C43">
        <v>1</v>
      </c>
      <c r="D43">
        <v>1</v>
      </c>
      <c r="E43">
        <v>10</v>
      </c>
      <c r="F43">
        <v>3</v>
      </c>
      <c r="G43" t="s">
        <v>112</v>
      </c>
      <c r="H43">
        <v>1</v>
      </c>
      <c r="I43" t="s">
        <v>112</v>
      </c>
      <c r="J43">
        <v>39</v>
      </c>
      <c r="K43">
        <v>195</v>
      </c>
      <c r="L43">
        <v>0.7</v>
      </c>
      <c r="M43">
        <v>39</v>
      </c>
      <c r="N43">
        <v>98</v>
      </c>
      <c r="O43">
        <v>0.7</v>
      </c>
      <c r="P43">
        <v>10</v>
      </c>
      <c r="Q43">
        <v>33</v>
      </c>
      <c r="R43">
        <v>0.7</v>
      </c>
      <c r="S43">
        <v>1000000</v>
      </c>
      <c r="T43" t="s">
        <v>112</v>
      </c>
      <c r="U43" t="s">
        <v>112</v>
      </c>
      <c r="W43">
        <v>50</v>
      </c>
      <c r="X43" t="b">
        <v>0</v>
      </c>
    </row>
    <row r="44" spans="1:24" x14ac:dyDescent="0.25">
      <c r="A44">
        <v>43</v>
      </c>
      <c r="B44" t="s">
        <v>194</v>
      </c>
      <c r="C44">
        <v>2</v>
      </c>
      <c r="D44">
        <v>3</v>
      </c>
      <c r="E44">
        <v>30</v>
      </c>
      <c r="F44">
        <v>3</v>
      </c>
      <c r="G44" t="s">
        <v>112</v>
      </c>
      <c r="H44">
        <v>1</v>
      </c>
      <c r="I44" t="s">
        <v>112</v>
      </c>
      <c r="J44">
        <v>156</v>
      </c>
      <c r="K44">
        <v>488</v>
      </c>
      <c r="L44">
        <v>0.7</v>
      </c>
      <c r="M44">
        <v>88</v>
      </c>
      <c r="N44">
        <v>304</v>
      </c>
      <c r="O44">
        <v>0.7</v>
      </c>
      <c r="P44">
        <v>30</v>
      </c>
      <c r="Q44">
        <v>60</v>
      </c>
      <c r="R44">
        <v>0.7</v>
      </c>
      <c r="S44">
        <v>1000000</v>
      </c>
      <c r="T44" t="s">
        <v>112</v>
      </c>
      <c r="U44" t="s">
        <v>195</v>
      </c>
      <c r="W44">
        <v>187.5</v>
      </c>
      <c r="X44" t="b">
        <v>0</v>
      </c>
    </row>
    <row r="45" spans="1:24" x14ac:dyDescent="0.25">
      <c r="A45">
        <v>44</v>
      </c>
      <c r="B45" t="s">
        <v>196</v>
      </c>
      <c r="C45">
        <v>1</v>
      </c>
      <c r="D45">
        <v>1</v>
      </c>
      <c r="E45">
        <v>10</v>
      </c>
      <c r="F45">
        <v>4</v>
      </c>
      <c r="G45" t="s">
        <v>112</v>
      </c>
      <c r="H45">
        <v>1</v>
      </c>
      <c r="I45" t="s">
        <v>112</v>
      </c>
      <c r="J45">
        <v>41</v>
      </c>
      <c r="K45">
        <v>205</v>
      </c>
      <c r="L45">
        <v>0.7</v>
      </c>
      <c r="M45">
        <v>43</v>
      </c>
      <c r="N45">
        <v>108</v>
      </c>
      <c r="O45">
        <v>0.7</v>
      </c>
      <c r="P45">
        <v>8</v>
      </c>
      <c r="Q45">
        <v>27</v>
      </c>
      <c r="R45">
        <v>0.7</v>
      </c>
      <c r="S45">
        <v>1000000</v>
      </c>
      <c r="T45" t="s">
        <v>112</v>
      </c>
      <c r="U45" t="s">
        <v>112</v>
      </c>
      <c r="W45">
        <v>50</v>
      </c>
      <c r="X45" t="b">
        <v>0</v>
      </c>
    </row>
    <row r="46" spans="1:24" x14ac:dyDescent="0.25">
      <c r="A46">
        <v>45</v>
      </c>
      <c r="B46" t="s">
        <v>197</v>
      </c>
      <c r="C46">
        <v>2</v>
      </c>
      <c r="D46">
        <v>3</v>
      </c>
      <c r="E46">
        <v>30</v>
      </c>
      <c r="F46">
        <v>4</v>
      </c>
      <c r="G46" t="s">
        <v>112</v>
      </c>
      <c r="H46">
        <v>1</v>
      </c>
      <c r="I46" t="s">
        <v>112</v>
      </c>
      <c r="J46">
        <v>164</v>
      </c>
      <c r="K46">
        <v>503</v>
      </c>
      <c r="L46">
        <v>0.7</v>
      </c>
      <c r="M46">
        <v>97</v>
      </c>
      <c r="N46">
        <v>319</v>
      </c>
      <c r="O46">
        <v>0.7</v>
      </c>
      <c r="P46">
        <v>24</v>
      </c>
      <c r="Q46">
        <v>45</v>
      </c>
      <c r="R46">
        <v>0.7</v>
      </c>
      <c r="S46">
        <v>1000000</v>
      </c>
      <c r="T46" t="s">
        <v>112</v>
      </c>
      <c r="U46" t="s">
        <v>198</v>
      </c>
      <c r="W46">
        <v>187.5</v>
      </c>
      <c r="X46" t="b">
        <v>0</v>
      </c>
    </row>
    <row r="47" spans="1:24" x14ac:dyDescent="0.25">
      <c r="A47">
        <v>46</v>
      </c>
      <c r="B47" t="s">
        <v>199</v>
      </c>
      <c r="C47">
        <v>1</v>
      </c>
      <c r="D47">
        <v>2</v>
      </c>
      <c r="E47">
        <v>10</v>
      </c>
      <c r="F47">
        <v>0</v>
      </c>
      <c r="G47" t="s">
        <v>112</v>
      </c>
      <c r="H47">
        <v>3</v>
      </c>
      <c r="I47" t="s">
        <v>112</v>
      </c>
      <c r="J47">
        <v>36</v>
      </c>
      <c r="K47">
        <v>180</v>
      </c>
      <c r="L47">
        <v>0.7</v>
      </c>
      <c r="M47">
        <v>24</v>
      </c>
      <c r="N47">
        <v>60</v>
      </c>
      <c r="O47">
        <v>0.7</v>
      </c>
      <c r="P47">
        <v>25</v>
      </c>
      <c r="Q47">
        <v>83</v>
      </c>
      <c r="R47">
        <v>0.7</v>
      </c>
      <c r="S47">
        <v>1000000</v>
      </c>
      <c r="T47" t="s">
        <v>112</v>
      </c>
      <c r="U47" t="s">
        <v>200</v>
      </c>
      <c r="W47">
        <v>75</v>
      </c>
      <c r="X47" t="b">
        <v>0</v>
      </c>
    </row>
    <row r="48" spans="1:24" x14ac:dyDescent="0.25">
      <c r="A48">
        <v>47</v>
      </c>
      <c r="B48" t="s">
        <v>201</v>
      </c>
      <c r="C48">
        <v>2</v>
      </c>
      <c r="D48">
        <v>5</v>
      </c>
      <c r="E48">
        <v>30</v>
      </c>
      <c r="F48">
        <v>0</v>
      </c>
      <c r="G48" t="s">
        <v>112</v>
      </c>
      <c r="H48">
        <v>3</v>
      </c>
      <c r="I48" t="s">
        <v>112</v>
      </c>
      <c r="J48">
        <v>144</v>
      </c>
      <c r="K48">
        <v>315</v>
      </c>
      <c r="L48">
        <v>0.7</v>
      </c>
      <c r="M48">
        <v>54</v>
      </c>
      <c r="N48">
        <v>139</v>
      </c>
      <c r="O48">
        <v>0.7</v>
      </c>
      <c r="P48">
        <v>75</v>
      </c>
      <c r="Q48">
        <v>175</v>
      </c>
      <c r="R48">
        <v>0.7</v>
      </c>
      <c r="S48">
        <v>1000000</v>
      </c>
      <c r="T48" t="s">
        <v>112</v>
      </c>
      <c r="U48" t="s">
        <v>202</v>
      </c>
      <c r="W48">
        <v>262.5</v>
      </c>
      <c r="X48" t="b">
        <v>0</v>
      </c>
    </row>
    <row r="49" spans="1:24" x14ac:dyDescent="0.25">
      <c r="A49">
        <v>48</v>
      </c>
      <c r="B49" t="s">
        <v>203</v>
      </c>
      <c r="C49">
        <v>1</v>
      </c>
      <c r="D49">
        <v>2</v>
      </c>
      <c r="E49">
        <v>10</v>
      </c>
      <c r="F49">
        <v>1</v>
      </c>
      <c r="G49" t="s">
        <v>112</v>
      </c>
      <c r="H49">
        <v>3</v>
      </c>
      <c r="I49" t="s">
        <v>112</v>
      </c>
      <c r="J49">
        <v>36</v>
      </c>
      <c r="K49">
        <v>182</v>
      </c>
      <c r="L49">
        <v>0.7</v>
      </c>
      <c r="M49">
        <v>22</v>
      </c>
      <c r="N49">
        <v>55</v>
      </c>
      <c r="O49">
        <v>0.7</v>
      </c>
      <c r="P49">
        <v>27</v>
      </c>
      <c r="Q49">
        <v>85</v>
      </c>
      <c r="R49">
        <v>0.7</v>
      </c>
      <c r="S49">
        <v>1000000</v>
      </c>
      <c r="T49" t="s">
        <v>112</v>
      </c>
      <c r="U49" t="s">
        <v>200</v>
      </c>
      <c r="W49">
        <v>75</v>
      </c>
      <c r="X49" t="b">
        <v>0</v>
      </c>
    </row>
    <row r="50" spans="1:24" x14ac:dyDescent="0.25">
      <c r="A50">
        <v>49</v>
      </c>
      <c r="B50" t="s">
        <v>204</v>
      </c>
      <c r="C50">
        <v>2</v>
      </c>
      <c r="D50">
        <v>5</v>
      </c>
      <c r="E50">
        <v>30</v>
      </c>
      <c r="F50">
        <v>1</v>
      </c>
      <c r="G50" t="s">
        <v>112</v>
      </c>
      <c r="H50">
        <v>3</v>
      </c>
      <c r="I50" t="s">
        <v>112</v>
      </c>
      <c r="J50">
        <v>146</v>
      </c>
      <c r="K50">
        <v>308</v>
      </c>
      <c r="L50">
        <v>0.7</v>
      </c>
      <c r="M50">
        <v>50</v>
      </c>
      <c r="N50">
        <v>135</v>
      </c>
      <c r="O50">
        <v>0.7</v>
      </c>
      <c r="P50">
        <v>77</v>
      </c>
      <c r="Q50">
        <v>185</v>
      </c>
      <c r="R50">
        <v>0.7</v>
      </c>
      <c r="S50">
        <v>1000000</v>
      </c>
      <c r="T50" t="s">
        <v>112</v>
      </c>
      <c r="U50" t="s">
        <v>202</v>
      </c>
      <c r="W50">
        <v>262.5</v>
      </c>
      <c r="X50" t="b">
        <v>0</v>
      </c>
    </row>
    <row r="51" spans="1:24" x14ac:dyDescent="0.25">
      <c r="A51">
        <v>50</v>
      </c>
      <c r="B51" t="s">
        <v>205</v>
      </c>
      <c r="C51">
        <v>1</v>
      </c>
      <c r="D51">
        <v>2</v>
      </c>
      <c r="E51">
        <v>10</v>
      </c>
      <c r="F51">
        <v>2</v>
      </c>
      <c r="G51" t="s">
        <v>112</v>
      </c>
      <c r="H51">
        <v>3</v>
      </c>
      <c r="I51" t="s">
        <v>112</v>
      </c>
      <c r="J51">
        <v>35</v>
      </c>
      <c r="K51">
        <v>175</v>
      </c>
      <c r="L51">
        <v>0.7</v>
      </c>
      <c r="M51">
        <v>22</v>
      </c>
      <c r="N51">
        <v>55</v>
      </c>
      <c r="O51">
        <v>0.7</v>
      </c>
      <c r="P51">
        <v>26</v>
      </c>
      <c r="Q51">
        <v>87</v>
      </c>
      <c r="R51">
        <v>0.7</v>
      </c>
      <c r="S51">
        <v>1000000</v>
      </c>
      <c r="T51" t="s">
        <v>112</v>
      </c>
      <c r="U51" t="s">
        <v>200</v>
      </c>
      <c r="W51">
        <v>75</v>
      </c>
      <c r="X51" t="b">
        <v>0</v>
      </c>
    </row>
    <row r="52" spans="1:24" x14ac:dyDescent="0.25">
      <c r="A52">
        <v>51</v>
      </c>
      <c r="B52" t="s">
        <v>206</v>
      </c>
      <c r="C52">
        <v>2</v>
      </c>
      <c r="D52">
        <v>5</v>
      </c>
      <c r="E52">
        <v>30</v>
      </c>
      <c r="F52">
        <v>2</v>
      </c>
      <c r="G52" t="s">
        <v>112</v>
      </c>
      <c r="H52">
        <v>3</v>
      </c>
      <c r="I52" t="s">
        <v>112</v>
      </c>
      <c r="J52">
        <v>140</v>
      </c>
      <c r="K52">
        <v>308</v>
      </c>
      <c r="L52">
        <v>0.7</v>
      </c>
      <c r="M52">
        <v>50</v>
      </c>
      <c r="N52">
        <v>135</v>
      </c>
      <c r="O52">
        <v>0.7</v>
      </c>
      <c r="P52">
        <v>78</v>
      </c>
      <c r="Q52">
        <v>180</v>
      </c>
      <c r="R52">
        <v>0.7</v>
      </c>
      <c r="S52">
        <v>1000000</v>
      </c>
      <c r="T52" t="s">
        <v>112</v>
      </c>
      <c r="U52" t="s">
        <v>202</v>
      </c>
      <c r="W52">
        <v>262.5</v>
      </c>
      <c r="X52" t="b">
        <v>0</v>
      </c>
    </row>
    <row r="53" spans="1:24" x14ac:dyDescent="0.25">
      <c r="A53">
        <v>52</v>
      </c>
      <c r="B53" t="s">
        <v>207</v>
      </c>
      <c r="C53">
        <v>1</v>
      </c>
      <c r="D53">
        <v>2</v>
      </c>
      <c r="E53">
        <v>10</v>
      </c>
      <c r="F53">
        <v>3</v>
      </c>
      <c r="G53" t="s">
        <v>112</v>
      </c>
      <c r="H53">
        <v>3</v>
      </c>
      <c r="I53" t="s">
        <v>112</v>
      </c>
      <c r="J53">
        <v>34</v>
      </c>
      <c r="K53">
        <v>170</v>
      </c>
      <c r="L53">
        <v>0.7</v>
      </c>
      <c r="M53">
        <v>21</v>
      </c>
      <c r="N53">
        <v>53</v>
      </c>
      <c r="O53">
        <v>0.7</v>
      </c>
      <c r="P53">
        <v>27</v>
      </c>
      <c r="Q53">
        <v>90</v>
      </c>
      <c r="R53">
        <v>0.7</v>
      </c>
      <c r="S53">
        <v>1000000</v>
      </c>
      <c r="T53" t="s">
        <v>112</v>
      </c>
      <c r="U53" t="s">
        <v>200</v>
      </c>
      <c r="W53">
        <v>75</v>
      </c>
      <c r="X53" t="b">
        <v>0</v>
      </c>
    </row>
    <row r="54" spans="1:24" x14ac:dyDescent="0.25">
      <c r="A54">
        <v>53</v>
      </c>
      <c r="B54" t="s">
        <v>208</v>
      </c>
      <c r="C54">
        <v>2</v>
      </c>
      <c r="D54">
        <v>5</v>
      </c>
      <c r="E54">
        <v>30</v>
      </c>
      <c r="F54">
        <v>3</v>
      </c>
      <c r="G54" t="s">
        <v>112</v>
      </c>
      <c r="H54">
        <v>3</v>
      </c>
      <c r="I54" t="s">
        <v>112</v>
      </c>
      <c r="J54">
        <v>136</v>
      </c>
      <c r="K54">
        <v>300</v>
      </c>
      <c r="L54">
        <v>0.7</v>
      </c>
      <c r="M54">
        <v>48</v>
      </c>
      <c r="N54">
        <v>131</v>
      </c>
      <c r="O54">
        <v>0.7</v>
      </c>
      <c r="P54">
        <v>81</v>
      </c>
      <c r="Q54">
        <v>190</v>
      </c>
      <c r="R54">
        <v>0.7</v>
      </c>
      <c r="S54">
        <v>1000000</v>
      </c>
      <c r="T54" t="s">
        <v>112</v>
      </c>
      <c r="U54" t="s">
        <v>202</v>
      </c>
      <c r="W54">
        <v>262.5</v>
      </c>
      <c r="X54" t="b">
        <v>0</v>
      </c>
    </row>
    <row r="55" spans="1:24" x14ac:dyDescent="0.25">
      <c r="A55">
        <v>54</v>
      </c>
      <c r="B55" t="s">
        <v>209</v>
      </c>
      <c r="C55">
        <v>1</v>
      </c>
      <c r="D55">
        <v>2</v>
      </c>
      <c r="E55">
        <v>10</v>
      </c>
      <c r="F55">
        <v>4</v>
      </c>
      <c r="G55" t="s">
        <v>112</v>
      </c>
      <c r="H55">
        <v>3</v>
      </c>
      <c r="I55" t="s">
        <v>112</v>
      </c>
      <c r="J55">
        <v>34</v>
      </c>
      <c r="K55">
        <v>173</v>
      </c>
      <c r="L55">
        <v>0.7</v>
      </c>
      <c r="M55">
        <v>25</v>
      </c>
      <c r="N55">
        <v>63</v>
      </c>
      <c r="O55">
        <v>0.7</v>
      </c>
      <c r="P55">
        <v>24</v>
      </c>
      <c r="Q55">
        <v>80</v>
      </c>
      <c r="R55">
        <v>0.7</v>
      </c>
      <c r="S55">
        <v>1000000</v>
      </c>
      <c r="T55" t="s">
        <v>112</v>
      </c>
      <c r="U55" t="s">
        <v>200</v>
      </c>
      <c r="W55">
        <v>75</v>
      </c>
      <c r="X55" t="b">
        <v>0</v>
      </c>
    </row>
    <row r="56" spans="1:24" x14ac:dyDescent="0.25">
      <c r="A56">
        <v>55</v>
      </c>
      <c r="B56" t="s">
        <v>210</v>
      </c>
      <c r="C56">
        <v>2</v>
      </c>
      <c r="D56">
        <v>5</v>
      </c>
      <c r="E56">
        <v>30</v>
      </c>
      <c r="F56">
        <v>4</v>
      </c>
      <c r="G56" t="s">
        <v>112</v>
      </c>
      <c r="H56">
        <v>3</v>
      </c>
      <c r="I56" t="s">
        <v>112</v>
      </c>
      <c r="J56">
        <v>138</v>
      </c>
      <c r="K56">
        <v>293</v>
      </c>
      <c r="L56">
        <v>0.7</v>
      </c>
      <c r="M56">
        <v>57</v>
      </c>
      <c r="N56">
        <v>146</v>
      </c>
      <c r="O56">
        <v>0.7</v>
      </c>
      <c r="P56">
        <v>72</v>
      </c>
      <c r="Q56">
        <v>170</v>
      </c>
      <c r="R56">
        <v>0.7</v>
      </c>
      <c r="S56">
        <v>1000000</v>
      </c>
      <c r="T56" t="s">
        <v>112</v>
      </c>
      <c r="U56" t="s">
        <v>202</v>
      </c>
      <c r="W56">
        <v>262.5</v>
      </c>
      <c r="X56" t="b">
        <v>0</v>
      </c>
    </row>
    <row r="57" spans="1:24" x14ac:dyDescent="0.25">
      <c r="A57">
        <v>56</v>
      </c>
      <c r="B57" t="s">
        <v>211</v>
      </c>
      <c r="C57">
        <v>1</v>
      </c>
      <c r="D57">
        <v>2</v>
      </c>
      <c r="E57">
        <v>10</v>
      </c>
      <c r="F57">
        <v>0</v>
      </c>
      <c r="G57" t="s">
        <v>112</v>
      </c>
      <c r="H57">
        <v>6</v>
      </c>
      <c r="I57" t="s">
        <v>112</v>
      </c>
      <c r="J57">
        <v>62</v>
      </c>
      <c r="K57">
        <v>310</v>
      </c>
      <c r="L57">
        <v>1</v>
      </c>
      <c r="M57">
        <v>62</v>
      </c>
      <c r="N57">
        <v>155</v>
      </c>
      <c r="O57">
        <v>1</v>
      </c>
      <c r="P57">
        <v>5</v>
      </c>
      <c r="Q57">
        <v>17</v>
      </c>
      <c r="R57">
        <v>1</v>
      </c>
      <c r="S57">
        <v>1500000</v>
      </c>
      <c r="T57" t="s">
        <v>112</v>
      </c>
      <c r="U57" t="s">
        <v>112</v>
      </c>
      <c r="W57">
        <v>75</v>
      </c>
      <c r="X57" t="b">
        <v>0</v>
      </c>
    </row>
    <row r="58" spans="1:24" x14ac:dyDescent="0.25">
      <c r="A58">
        <v>57</v>
      </c>
      <c r="B58" t="s">
        <v>212</v>
      </c>
      <c r="C58">
        <v>2</v>
      </c>
      <c r="D58">
        <v>5</v>
      </c>
      <c r="E58">
        <v>30</v>
      </c>
      <c r="F58">
        <v>0</v>
      </c>
      <c r="G58" t="s">
        <v>112</v>
      </c>
      <c r="H58">
        <v>6</v>
      </c>
      <c r="I58" t="s">
        <v>112</v>
      </c>
      <c r="J58">
        <v>248</v>
      </c>
      <c r="K58">
        <v>600</v>
      </c>
      <c r="L58">
        <v>1</v>
      </c>
      <c r="M58">
        <v>140</v>
      </c>
      <c r="N58">
        <v>525</v>
      </c>
      <c r="O58">
        <v>1</v>
      </c>
      <c r="P58">
        <v>15</v>
      </c>
      <c r="Q58">
        <v>35</v>
      </c>
      <c r="R58">
        <v>1</v>
      </c>
      <c r="S58">
        <v>1500000</v>
      </c>
      <c r="T58" t="s">
        <v>112</v>
      </c>
      <c r="U58" t="s">
        <v>186</v>
      </c>
      <c r="W58">
        <v>262.5</v>
      </c>
      <c r="X58" t="b">
        <v>0</v>
      </c>
    </row>
    <row r="59" spans="1:24" x14ac:dyDescent="0.25">
      <c r="A59">
        <v>58</v>
      </c>
      <c r="B59" t="s">
        <v>213</v>
      </c>
      <c r="C59">
        <v>1</v>
      </c>
      <c r="D59">
        <v>2</v>
      </c>
      <c r="E59">
        <v>10</v>
      </c>
      <c r="F59">
        <v>1</v>
      </c>
      <c r="G59" t="s">
        <v>112</v>
      </c>
      <c r="H59">
        <v>6</v>
      </c>
      <c r="I59" t="s">
        <v>112</v>
      </c>
      <c r="J59">
        <v>67</v>
      </c>
      <c r="K59">
        <v>335</v>
      </c>
      <c r="L59">
        <v>1</v>
      </c>
      <c r="M59">
        <v>57</v>
      </c>
      <c r="N59">
        <v>143</v>
      </c>
      <c r="O59">
        <v>1</v>
      </c>
      <c r="P59">
        <v>4</v>
      </c>
      <c r="Q59">
        <v>13</v>
      </c>
      <c r="R59">
        <v>1</v>
      </c>
      <c r="S59">
        <v>1500000</v>
      </c>
      <c r="T59" t="s">
        <v>112</v>
      </c>
      <c r="U59" t="s">
        <v>112</v>
      </c>
      <c r="W59">
        <v>75</v>
      </c>
      <c r="X59" t="b">
        <v>0</v>
      </c>
    </row>
    <row r="60" spans="1:24" x14ac:dyDescent="0.25">
      <c r="A60">
        <v>59</v>
      </c>
      <c r="B60" t="s">
        <v>214</v>
      </c>
      <c r="C60">
        <v>2</v>
      </c>
      <c r="D60">
        <v>5</v>
      </c>
      <c r="E60">
        <v>30</v>
      </c>
      <c r="F60">
        <v>1</v>
      </c>
      <c r="G60" t="s">
        <v>112</v>
      </c>
      <c r="H60">
        <v>6</v>
      </c>
      <c r="I60" t="s">
        <v>112</v>
      </c>
      <c r="J60">
        <v>268</v>
      </c>
      <c r="K60">
        <v>638</v>
      </c>
      <c r="L60">
        <v>1</v>
      </c>
      <c r="M60">
        <v>129</v>
      </c>
      <c r="N60">
        <v>518</v>
      </c>
      <c r="O60">
        <v>1</v>
      </c>
      <c r="P60">
        <v>12</v>
      </c>
      <c r="Q60">
        <v>30</v>
      </c>
      <c r="R60">
        <v>1</v>
      </c>
      <c r="S60">
        <v>1500000</v>
      </c>
      <c r="T60" t="s">
        <v>112</v>
      </c>
      <c r="U60" t="s">
        <v>189</v>
      </c>
      <c r="W60">
        <v>262.5</v>
      </c>
      <c r="X60" t="b">
        <v>0</v>
      </c>
    </row>
    <row r="61" spans="1:24" x14ac:dyDescent="0.25">
      <c r="A61">
        <v>60</v>
      </c>
      <c r="B61" t="s">
        <v>215</v>
      </c>
      <c r="C61">
        <v>1</v>
      </c>
      <c r="D61">
        <v>2</v>
      </c>
      <c r="E61">
        <v>10</v>
      </c>
      <c r="F61">
        <v>2</v>
      </c>
      <c r="G61" t="s">
        <v>112</v>
      </c>
      <c r="H61">
        <v>6</v>
      </c>
      <c r="I61" t="s">
        <v>112</v>
      </c>
      <c r="J61">
        <v>65</v>
      </c>
      <c r="K61">
        <v>325</v>
      </c>
      <c r="L61">
        <v>1</v>
      </c>
      <c r="M61">
        <v>59</v>
      </c>
      <c r="N61">
        <v>148</v>
      </c>
      <c r="O61">
        <v>1</v>
      </c>
      <c r="P61">
        <v>3</v>
      </c>
      <c r="Q61">
        <v>10</v>
      </c>
      <c r="R61">
        <v>1</v>
      </c>
      <c r="S61">
        <v>1500000</v>
      </c>
      <c r="T61" t="s">
        <v>112</v>
      </c>
      <c r="U61" t="s">
        <v>112</v>
      </c>
      <c r="W61">
        <v>75</v>
      </c>
      <c r="X61" t="b">
        <v>0</v>
      </c>
    </row>
    <row r="62" spans="1:24" x14ac:dyDescent="0.25">
      <c r="A62">
        <v>61</v>
      </c>
      <c r="B62" t="s">
        <v>216</v>
      </c>
      <c r="C62">
        <v>2</v>
      </c>
      <c r="D62">
        <v>5</v>
      </c>
      <c r="E62">
        <v>30</v>
      </c>
      <c r="F62">
        <v>2</v>
      </c>
      <c r="G62" t="s">
        <v>112</v>
      </c>
      <c r="H62">
        <v>6</v>
      </c>
      <c r="I62" t="s">
        <v>112</v>
      </c>
      <c r="J62">
        <v>260</v>
      </c>
      <c r="K62">
        <v>623</v>
      </c>
      <c r="L62">
        <v>1</v>
      </c>
      <c r="M62">
        <v>133</v>
      </c>
      <c r="N62">
        <v>506</v>
      </c>
      <c r="O62">
        <v>1</v>
      </c>
      <c r="P62">
        <v>9</v>
      </c>
      <c r="Q62">
        <v>25</v>
      </c>
      <c r="R62">
        <v>1</v>
      </c>
      <c r="S62">
        <v>1500000</v>
      </c>
      <c r="T62" t="s">
        <v>112</v>
      </c>
      <c r="U62" t="s">
        <v>192</v>
      </c>
      <c r="W62">
        <v>262.5</v>
      </c>
      <c r="X62" t="b">
        <v>0</v>
      </c>
    </row>
    <row r="63" spans="1:24" x14ac:dyDescent="0.25">
      <c r="A63">
        <v>62</v>
      </c>
      <c r="B63" t="s">
        <v>217</v>
      </c>
      <c r="C63">
        <v>2</v>
      </c>
      <c r="D63">
        <v>4</v>
      </c>
      <c r="E63">
        <v>15</v>
      </c>
      <c r="F63">
        <v>0</v>
      </c>
      <c r="G63" t="s">
        <v>112</v>
      </c>
      <c r="H63">
        <v>2</v>
      </c>
      <c r="I63" t="s">
        <v>112</v>
      </c>
      <c r="J63">
        <v>84</v>
      </c>
      <c r="K63">
        <v>630</v>
      </c>
      <c r="L63">
        <v>1</v>
      </c>
      <c r="M63">
        <v>84</v>
      </c>
      <c r="N63">
        <v>315</v>
      </c>
      <c r="O63">
        <v>1</v>
      </c>
      <c r="P63">
        <v>1</v>
      </c>
      <c r="Q63">
        <v>5</v>
      </c>
      <c r="R63">
        <v>1</v>
      </c>
      <c r="S63">
        <v>1500000</v>
      </c>
      <c r="T63" t="s">
        <v>218</v>
      </c>
      <c r="U63" t="s">
        <v>112</v>
      </c>
      <c r="W63">
        <v>150</v>
      </c>
      <c r="X63" t="b">
        <v>0</v>
      </c>
    </row>
    <row r="64" spans="1:24" x14ac:dyDescent="0.25">
      <c r="A64">
        <v>63</v>
      </c>
      <c r="B64" t="s">
        <v>219</v>
      </c>
      <c r="C64">
        <v>3</v>
      </c>
      <c r="D64">
        <v>7</v>
      </c>
      <c r="E64">
        <v>50</v>
      </c>
      <c r="F64">
        <v>0</v>
      </c>
      <c r="G64" t="s">
        <v>112</v>
      </c>
      <c r="H64">
        <v>2</v>
      </c>
      <c r="I64" t="s">
        <v>112</v>
      </c>
      <c r="J64">
        <v>504</v>
      </c>
      <c r="K64">
        <v>1775</v>
      </c>
      <c r="L64">
        <v>1</v>
      </c>
      <c r="M64">
        <v>284</v>
      </c>
      <c r="N64">
        <v>888</v>
      </c>
      <c r="O64">
        <v>1</v>
      </c>
      <c r="P64">
        <v>5</v>
      </c>
      <c r="Q64">
        <v>8</v>
      </c>
      <c r="R64">
        <v>1</v>
      </c>
      <c r="S64">
        <v>1500000</v>
      </c>
      <c r="T64" t="s">
        <v>218</v>
      </c>
      <c r="U64" t="s">
        <v>112</v>
      </c>
      <c r="V64" t="s">
        <v>220</v>
      </c>
      <c r="W64">
        <v>412.5</v>
      </c>
      <c r="X64" t="b">
        <v>0</v>
      </c>
    </row>
    <row r="65" spans="1:24" x14ac:dyDescent="0.25">
      <c r="A65">
        <v>64</v>
      </c>
      <c r="B65" t="s">
        <v>221</v>
      </c>
      <c r="C65">
        <v>2</v>
      </c>
      <c r="D65">
        <v>4</v>
      </c>
      <c r="E65">
        <v>15</v>
      </c>
      <c r="F65">
        <v>1</v>
      </c>
      <c r="G65" t="s">
        <v>112</v>
      </c>
      <c r="H65">
        <v>2</v>
      </c>
      <c r="I65" t="s">
        <v>112</v>
      </c>
      <c r="J65">
        <v>83</v>
      </c>
      <c r="K65">
        <v>623</v>
      </c>
      <c r="L65">
        <v>1</v>
      </c>
      <c r="M65">
        <v>82</v>
      </c>
      <c r="N65">
        <v>308</v>
      </c>
      <c r="O65">
        <v>1</v>
      </c>
      <c r="P65">
        <v>1</v>
      </c>
      <c r="Q65">
        <v>5</v>
      </c>
      <c r="R65">
        <v>1</v>
      </c>
      <c r="S65">
        <v>1500000</v>
      </c>
      <c r="T65" t="s">
        <v>218</v>
      </c>
      <c r="U65" t="s">
        <v>112</v>
      </c>
      <c r="W65">
        <v>150</v>
      </c>
      <c r="X65" t="b">
        <v>0</v>
      </c>
    </row>
    <row r="66" spans="1:24" x14ac:dyDescent="0.25">
      <c r="A66">
        <v>65</v>
      </c>
      <c r="B66" t="s">
        <v>222</v>
      </c>
      <c r="C66">
        <v>3</v>
      </c>
      <c r="D66">
        <v>7</v>
      </c>
      <c r="E66">
        <v>50</v>
      </c>
      <c r="F66">
        <v>1</v>
      </c>
      <c r="G66" t="s">
        <v>112</v>
      </c>
      <c r="H66">
        <v>2</v>
      </c>
      <c r="I66" t="s">
        <v>112</v>
      </c>
      <c r="J66">
        <v>498</v>
      </c>
      <c r="K66">
        <v>1900</v>
      </c>
      <c r="L66">
        <v>1</v>
      </c>
      <c r="M66">
        <v>277</v>
      </c>
      <c r="N66">
        <v>875</v>
      </c>
      <c r="O66">
        <v>1</v>
      </c>
      <c r="P66">
        <v>5</v>
      </c>
      <c r="Q66">
        <v>8</v>
      </c>
      <c r="R66">
        <v>1</v>
      </c>
      <c r="S66">
        <v>1500000</v>
      </c>
      <c r="T66" t="s">
        <v>218</v>
      </c>
      <c r="U66" t="s">
        <v>112</v>
      </c>
      <c r="V66" t="s">
        <v>220</v>
      </c>
      <c r="W66">
        <v>412.5</v>
      </c>
      <c r="X66" t="b">
        <v>0</v>
      </c>
    </row>
    <row r="67" spans="1:24" x14ac:dyDescent="0.25">
      <c r="A67">
        <v>66</v>
      </c>
      <c r="B67" t="s">
        <v>223</v>
      </c>
      <c r="C67">
        <v>2</v>
      </c>
      <c r="D67">
        <v>4</v>
      </c>
      <c r="E67">
        <v>15</v>
      </c>
      <c r="F67">
        <v>2</v>
      </c>
      <c r="G67" t="s">
        <v>112</v>
      </c>
      <c r="H67">
        <v>2</v>
      </c>
      <c r="I67" t="s">
        <v>112</v>
      </c>
      <c r="J67">
        <v>82</v>
      </c>
      <c r="K67">
        <v>615</v>
      </c>
      <c r="L67">
        <v>1</v>
      </c>
      <c r="M67">
        <v>79</v>
      </c>
      <c r="N67">
        <v>296</v>
      </c>
      <c r="O67">
        <v>1</v>
      </c>
      <c r="P67">
        <v>1</v>
      </c>
      <c r="Q67">
        <v>5</v>
      </c>
      <c r="R67">
        <v>1</v>
      </c>
      <c r="S67">
        <v>1500000</v>
      </c>
      <c r="T67" t="s">
        <v>218</v>
      </c>
      <c r="U67" t="s">
        <v>112</v>
      </c>
      <c r="W67">
        <v>150</v>
      </c>
      <c r="X67" t="b">
        <v>0</v>
      </c>
    </row>
    <row r="68" spans="1:24" x14ac:dyDescent="0.25">
      <c r="A68">
        <v>67</v>
      </c>
      <c r="B68" t="s">
        <v>224</v>
      </c>
      <c r="C68">
        <v>3</v>
      </c>
      <c r="D68">
        <v>7</v>
      </c>
      <c r="E68">
        <v>50</v>
      </c>
      <c r="F68">
        <v>2</v>
      </c>
      <c r="G68" t="s">
        <v>112</v>
      </c>
      <c r="H68">
        <v>2</v>
      </c>
      <c r="I68" t="s">
        <v>112</v>
      </c>
      <c r="J68">
        <v>492</v>
      </c>
      <c r="K68">
        <v>1838</v>
      </c>
      <c r="L68">
        <v>1</v>
      </c>
      <c r="M68">
        <v>266</v>
      </c>
      <c r="N68">
        <v>856</v>
      </c>
      <c r="O68">
        <v>1</v>
      </c>
      <c r="P68">
        <v>5</v>
      </c>
      <c r="Q68">
        <v>8</v>
      </c>
      <c r="R68">
        <v>1</v>
      </c>
      <c r="S68">
        <v>1500000</v>
      </c>
      <c r="T68" t="s">
        <v>218</v>
      </c>
      <c r="U68" t="s">
        <v>112</v>
      </c>
      <c r="V68" t="s">
        <v>220</v>
      </c>
      <c r="W68">
        <v>412.5</v>
      </c>
      <c r="X68" t="b">
        <v>0</v>
      </c>
    </row>
    <row r="69" spans="1:24" x14ac:dyDescent="0.25">
      <c r="A69">
        <v>68</v>
      </c>
      <c r="B69" t="s">
        <v>225</v>
      </c>
      <c r="C69">
        <v>2</v>
      </c>
      <c r="D69">
        <v>3</v>
      </c>
      <c r="E69">
        <v>15</v>
      </c>
      <c r="F69">
        <v>0</v>
      </c>
      <c r="G69" t="s">
        <v>112</v>
      </c>
      <c r="H69">
        <v>1</v>
      </c>
      <c r="I69" t="s">
        <v>112</v>
      </c>
      <c r="J69">
        <v>44</v>
      </c>
      <c r="K69">
        <v>330</v>
      </c>
      <c r="L69">
        <v>0.7</v>
      </c>
      <c r="M69">
        <v>48</v>
      </c>
      <c r="N69">
        <v>180</v>
      </c>
      <c r="O69">
        <v>0.7</v>
      </c>
      <c r="P69">
        <v>8</v>
      </c>
      <c r="Q69">
        <v>40</v>
      </c>
      <c r="R69">
        <v>0.7</v>
      </c>
      <c r="S69">
        <v>1000000</v>
      </c>
      <c r="T69" t="s">
        <v>112</v>
      </c>
      <c r="U69" t="s">
        <v>226</v>
      </c>
      <c r="W69">
        <v>125</v>
      </c>
      <c r="X69" t="b">
        <v>0</v>
      </c>
    </row>
    <row r="70" spans="1:24" x14ac:dyDescent="0.25">
      <c r="A70">
        <v>69</v>
      </c>
      <c r="B70" t="s">
        <v>227</v>
      </c>
      <c r="C70">
        <v>3</v>
      </c>
      <c r="D70">
        <v>6</v>
      </c>
      <c r="E70">
        <v>50</v>
      </c>
      <c r="F70">
        <v>0</v>
      </c>
      <c r="G70" t="s">
        <v>112</v>
      </c>
      <c r="H70">
        <v>1</v>
      </c>
      <c r="I70" t="s">
        <v>112</v>
      </c>
      <c r="J70">
        <v>264</v>
      </c>
      <c r="K70">
        <v>838</v>
      </c>
      <c r="L70">
        <v>0.7</v>
      </c>
      <c r="M70">
        <v>162</v>
      </c>
      <c r="N70">
        <v>444</v>
      </c>
      <c r="O70">
        <v>0.7</v>
      </c>
      <c r="P70">
        <v>36</v>
      </c>
      <c r="Q70">
        <v>100</v>
      </c>
      <c r="R70">
        <v>0.7</v>
      </c>
      <c r="S70">
        <v>1000000</v>
      </c>
      <c r="T70" t="s">
        <v>112</v>
      </c>
      <c r="U70" t="s">
        <v>226</v>
      </c>
      <c r="W70">
        <v>337.5</v>
      </c>
      <c r="X70" t="b">
        <v>0</v>
      </c>
    </row>
    <row r="71" spans="1:24" x14ac:dyDescent="0.25">
      <c r="A71">
        <v>70</v>
      </c>
      <c r="B71" t="s">
        <v>228</v>
      </c>
      <c r="C71">
        <v>2</v>
      </c>
      <c r="D71">
        <v>3</v>
      </c>
      <c r="E71">
        <v>15</v>
      </c>
      <c r="F71">
        <v>1</v>
      </c>
      <c r="G71" t="s">
        <v>112</v>
      </c>
      <c r="H71">
        <v>1</v>
      </c>
      <c r="I71" t="s">
        <v>112</v>
      </c>
      <c r="J71">
        <v>48</v>
      </c>
      <c r="K71">
        <v>360</v>
      </c>
      <c r="L71">
        <v>0.7</v>
      </c>
      <c r="M71">
        <v>44</v>
      </c>
      <c r="N71">
        <v>165</v>
      </c>
      <c r="O71">
        <v>0.7</v>
      </c>
      <c r="P71">
        <v>9</v>
      </c>
      <c r="Q71">
        <v>45</v>
      </c>
      <c r="R71">
        <v>0.7</v>
      </c>
      <c r="S71">
        <v>1000000</v>
      </c>
      <c r="T71" t="s">
        <v>112</v>
      </c>
      <c r="U71" t="s">
        <v>226</v>
      </c>
      <c r="W71">
        <v>125</v>
      </c>
      <c r="X71" t="b">
        <v>0</v>
      </c>
    </row>
    <row r="72" spans="1:24" x14ac:dyDescent="0.25">
      <c r="A72">
        <v>71</v>
      </c>
      <c r="B72" t="s">
        <v>229</v>
      </c>
      <c r="C72">
        <v>3</v>
      </c>
      <c r="D72">
        <v>6</v>
      </c>
      <c r="E72">
        <v>50</v>
      </c>
      <c r="F72">
        <v>1</v>
      </c>
      <c r="G72" t="s">
        <v>112</v>
      </c>
      <c r="H72">
        <v>1</v>
      </c>
      <c r="I72" t="s">
        <v>112</v>
      </c>
      <c r="J72">
        <v>288</v>
      </c>
      <c r="K72">
        <v>888</v>
      </c>
      <c r="L72">
        <v>0.7</v>
      </c>
      <c r="M72">
        <v>149</v>
      </c>
      <c r="N72">
        <v>400</v>
      </c>
      <c r="O72">
        <v>0.7</v>
      </c>
      <c r="P72">
        <v>41</v>
      </c>
      <c r="Q72">
        <v>117</v>
      </c>
      <c r="R72">
        <v>0.7</v>
      </c>
      <c r="S72">
        <v>1000000</v>
      </c>
      <c r="T72" t="s">
        <v>112</v>
      </c>
      <c r="U72" t="s">
        <v>226</v>
      </c>
      <c r="W72">
        <v>337.5</v>
      </c>
      <c r="X72" t="b">
        <v>0</v>
      </c>
    </row>
    <row r="73" spans="1:24" x14ac:dyDescent="0.25">
      <c r="A73">
        <v>72</v>
      </c>
      <c r="B73" t="s">
        <v>230</v>
      </c>
      <c r="C73">
        <v>2</v>
      </c>
      <c r="D73">
        <v>3</v>
      </c>
      <c r="E73">
        <v>15</v>
      </c>
      <c r="F73">
        <v>2</v>
      </c>
      <c r="G73" t="s">
        <v>112</v>
      </c>
      <c r="H73">
        <v>1</v>
      </c>
      <c r="I73" t="s">
        <v>112</v>
      </c>
      <c r="J73">
        <v>46</v>
      </c>
      <c r="K73">
        <v>345</v>
      </c>
      <c r="L73">
        <v>0.7</v>
      </c>
      <c r="M73">
        <v>47</v>
      </c>
      <c r="N73">
        <v>176</v>
      </c>
      <c r="O73">
        <v>0.7</v>
      </c>
      <c r="P73">
        <v>9</v>
      </c>
      <c r="Q73">
        <v>45</v>
      </c>
      <c r="R73">
        <v>0.7</v>
      </c>
      <c r="S73">
        <v>1000000</v>
      </c>
      <c r="T73" t="s">
        <v>112</v>
      </c>
      <c r="U73" t="s">
        <v>226</v>
      </c>
      <c r="W73">
        <v>125</v>
      </c>
      <c r="X73" t="b">
        <v>0</v>
      </c>
    </row>
    <row r="74" spans="1:24" x14ac:dyDescent="0.25">
      <c r="A74">
        <v>73</v>
      </c>
      <c r="B74" t="s">
        <v>231</v>
      </c>
      <c r="C74">
        <v>3</v>
      </c>
      <c r="D74">
        <v>6</v>
      </c>
      <c r="E74">
        <v>50</v>
      </c>
      <c r="F74">
        <v>2</v>
      </c>
      <c r="G74" t="s">
        <v>112</v>
      </c>
      <c r="H74">
        <v>1</v>
      </c>
      <c r="I74" t="s">
        <v>112</v>
      </c>
      <c r="J74">
        <v>276</v>
      </c>
      <c r="K74">
        <v>863</v>
      </c>
      <c r="L74">
        <v>0.7</v>
      </c>
      <c r="M74">
        <v>158</v>
      </c>
      <c r="N74">
        <v>413</v>
      </c>
      <c r="O74">
        <v>0.7</v>
      </c>
      <c r="P74">
        <v>41</v>
      </c>
      <c r="Q74">
        <v>108</v>
      </c>
      <c r="R74">
        <v>0.7</v>
      </c>
      <c r="S74">
        <v>1000000</v>
      </c>
      <c r="T74" t="s">
        <v>112</v>
      </c>
      <c r="U74" t="s">
        <v>226</v>
      </c>
      <c r="W74">
        <v>337.5</v>
      </c>
      <c r="X74" t="b">
        <v>0</v>
      </c>
    </row>
    <row r="75" spans="1:24" x14ac:dyDescent="0.25">
      <c r="A75">
        <v>74</v>
      </c>
      <c r="B75" t="s">
        <v>232</v>
      </c>
      <c r="C75">
        <v>2</v>
      </c>
      <c r="D75">
        <v>3</v>
      </c>
      <c r="E75">
        <v>15</v>
      </c>
      <c r="F75">
        <v>3</v>
      </c>
      <c r="G75" t="s">
        <v>112</v>
      </c>
      <c r="H75">
        <v>1</v>
      </c>
      <c r="I75" t="s">
        <v>112</v>
      </c>
      <c r="J75">
        <v>46</v>
      </c>
      <c r="K75">
        <v>345</v>
      </c>
      <c r="L75">
        <v>0.7</v>
      </c>
      <c r="M75">
        <v>45</v>
      </c>
      <c r="N75">
        <v>169</v>
      </c>
      <c r="O75">
        <v>0.7</v>
      </c>
      <c r="P75">
        <v>10</v>
      </c>
      <c r="Q75">
        <v>50</v>
      </c>
      <c r="R75">
        <v>0.7</v>
      </c>
      <c r="S75">
        <v>1000000</v>
      </c>
      <c r="T75" t="s">
        <v>112</v>
      </c>
      <c r="U75" t="s">
        <v>226</v>
      </c>
      <c r="W75">
        <v>125</v>
      </c>
      <c r="X75" t="b">
        <v>0</v>
      </c>
    </row>
    <row r="76" spans="1:24" x14ac:dyDescent="0.25">
      <c r="A76">
        <v>75</v>
      </c>
      <c r="B76" t="s">
        <v>233</v>
      </c>
      <c r="C76">
        <v>3</v>
      </c>
      <c r="D76">
        <v>6</v>
      </c>
      <c r="E76">
        <v>50</v>
      </c>
      <c r="F76">
        <v>3</v>
      </c>
      <c r="G76" t="s">
        <v>112</v>
      </c>
      <c r="H76">
        <v>1</v>
      </c>
      <c r="I76" t="s">
        <v>112</v>
      </c>
      <c r="J76">
        <v>276</v>
      </c>
      <c r="K76">
        <v>813</v>
      </c>
      <c r="L76">
        <v>0.7</v>
      </c>
      <c r="M76">
        <v>152</v>
      </c>
      <c r="N76">
        <v>406</v>
      </c>
      <c r="O76">
        <v>0.7</v>
      </c>
      <c r="P76">
        <v>45</v>
      </c>
      <c r="Q76">
        <v>117</v>
      </c>
      <c r="R76">
        <v>0.7</v>
      </c>
      <c r="S76">
        <v>1000000</v>
      </c>
      <c r="T76" t="s">
        <v>112</v>
      </c>
      <c r="U76" t="s">
        <v>226</v>
      </c>
      <c r="W76">
        <v>337.5</v>
      </c>
      <c r="X76" t="b">
        <v>0</v>
      </c>
    </row>
    <row r="77" spans="1:24" x14ac:dyDescent="0.25">
      <c r="A77">
        <v>76</v>
      </c>
      <c r="B77" t="s">
        <v>234</v>
      </c>
      <c r="C77">
        <v>2</v>
      </c>
      <c r="D77">
        <v>3</v>
      </c>
      <c r="E77">
        <v>15</v>
      </c>
      <c r="F77">
        <v>4</v>
      </c>
      <c r="G77" t="s">
        <v>112</v>
      </c>
      <c r="H77">
        <v>1</v>
      </c>
      <c r="I77" t="s">
        <v>112</v>
      </c>
      <c r="J77">
        <v>45</v>
      </c>
      <c r="K77">
        <v>338</v>
      </c>
      <c r="L77">
        <v>0.7</v>
      </c>
      <c r="M77">
        <v>46</v>
      </c>
      <c r="N77">
        <v>173</v>
      </c>
      <c r="O77">
        <v>0.7</v>
      </c>
      <c r="P77">
        <v>8</v>
      </c>
      <c r="Q77">
        <v>40</v>
      </c>
      <c r="R77">
        <v>0.7</v>
      </c>
      <c r="S77">
        <v>1000000</v>
      </c>
      <c r="T77" t="s">
        <v>112</v>
      </c>
      <c r="U77" t="s">
        <v>226</v>
      </c>
      <c r="W77">
        <v>125</v>
      </c>
      <c r="X77" t="b">
        <v>0</v>
      </c>
    </row>
    <row r="78" spans="1:24" x14ac:dyDescent="0.25">
      <c r="A78">
        <v>77</v>
      </c>
      <c r="B78" t="s">
        <v>235</v>
      </c>
      <c r="C78">
        <v>3</v>
      </c>
      <c r="D78">
        <v>6</v>
      </c>
      <c r="E78">
        <v>50</v>
      </c>
      <c r="F78">
        <v>4</v>
      </c>
      <c r="G78" t="s">
        <v>112</v>
      </c>
      <c r="H78">
        <v>1</v>
      </c>
      <c r="I78" t="s">
        <v>112</v>
      </c>
      <c r="J78">
        <v>270</v>
      </c>
      <c r="K78">
        <v>875</v>
      </c>
      <c r="L78">
        <v>0.7</v>
      </c>
      <c r="M78">
        <v>156</v>
      </c>
      <c r="N78">
        <v>419</v>
      </c>
      <c r="O78">
        <v>0.7</v>
      </c>
      <c r="P78">
        <v>36</v>
      </c>
      <c r="Q78">
        <v>100</v>
      </c>
      <c r="R78">
        <v>0.7</v>
      </c>
      <c r="S78">
        <v>1000000</v>
      </c>
      <c r="T78" t="s">
        <v>112</v>
      </c>
      <c r="U78" t="s">
        <v>226</v>
      </c>
      <c r="W78">
        <v>337.5</v>
      </c>
      <c r="X78" t="b">
        <v>0</v>
      </c>
    </row>
    <row r="79" spans="1:24" x14ac:dyDescent="0.25">
      <c r="A79">
        <v>78</v>
      </c>
      <c r="B79" t="s">
        <v>236</v>
      </c>
      <c r="C79">
        <v>3</v>
      </c>
      <c r="D79">
        <v>6</v>
      </c>
      <c r="E79">
        <v>25</v>
      </c>
      <c r="F79">
        <v>0</v>
      </c>
      <c r="G79" t="s">
        <v>112</v>
      </c>
      <c r="H79">
        <v>2</v>
      </c>
      <c r="I79" t="s">
        <v>112</v>
      </c>
      <c r="J79">
        <v>131</v>
      </c>
      <c r="K79">
        <v>819</v>
      </c>
      <c r="L79">
        <v>1</v>
      </c>
      <c r="M79">
        <v>101</v>
      </c>
      <c r="N79">
        <v>316</v>
      </c>
      <c r="O79">
        <v>1</v>
      </c>
      <c r="P79">
        <v>8</v>
      </c>
      <c r="Q79">
        <v>33</v>
      </c>
      <c r="R79">
        <v>1</v>
      </c>
      <c r="S79">
        <v>1500000</v>
      </c>
      <c r="T79" t="s">
        <v>237</v>
      </c>
      <c r="U79" t="s">
        <v>238</v>
      </c>
      <c r="W79">
        <v>225</v>
      </c>
      <c r="X79" t="b">
        <v>0</v>
      </c>
    </row>
    <row r="80" spans="1:24" x14ac:dyDescent="0.25">
      <c r="A80">
        <v>79</v>
      </c>
      <c r="B80" t="s">
        <v>239</v>
      </c>
      <c r="C80">
        <v>4</v>
      </c>
      <c r="D80">
        <v>9</v>
      </c>
      <c r="E80">
        <v>70</v>
      </c>
      <c r="F80">
        <v>0</v>
      </c>
      <c r="G80" t="s">
        <v>112</v>
      </c>
      <c r="H80">
        <v>2</v>
      </c>
      <c r="I80" t="s">
        <v>112</v>
      </c>
      <c r="J80">
        <v>655</v>
      </c>
      <c r="K80">
        <v>2555</v>
      </c>
      <c r="L80">
        <v>1</v>
      </c>
      <c r="M80">
        <v>284</v>
      </c>
      <c r="N80">
        <v>782</v>
      </c>
      <c r="O80">
        <v>1</v>
      </c>
      <c r="P80">
        <v>30</v>
      </c>
      <c r="Q80">
        <v>54</v>
      </c>
      <c r="R80">
        <v>1</v>
      </c>
      <c r="S80">
        <v>1500000</v>
      </c>
      <c r="T80" t="s">
        <v>237</v>
      </c>
      <c r="U80" t="s">
        <v>238</v>
      </c>
      <c r="W80">
        <v>487.5</v>
      </c>
      <c r="X80" t="b">
        <v>0</v>
      </c>
    </row>
    <row r="81" spans="1:24" x14ac:dyDescent="0.25">
      <c r="A81">
        <v>80</v>
      </c>
      <c r="B81" t="s">
        <v>240</v>
      </c>
      <c r="C81">
        <v>3</v>
      </c>
      <c r="D81">
        <v>6</v>
      </c>
      <c r="E81">
        <v>25</v>
      </c>
      <c r="F81">
        <v>1</v>
      </c>
      <c r="G81" t="s">
        <v>112</v>
      </c>
      <c r="H81">
        <v>2</v>
      </c>
      <c r="I81" t="s">
        <v>112</v>
      </c>
      <c r="J81">
        <v>132</v>
      </c>
      <c r="K81">
        <v>825</v>
      </c>
      <c r="L81">
        <v>1</v>
      </c>
      <c r="M81">
        <v>96</v>
      </c>
      <c r="N81">
        <v>300</v>
      </c>
      <c r="O81">
        <v>1</v>
      </c>
      <c r="P81">
        <v>9</v>
      </c>
      <c r="Q81">
        <v>38</v>
      </c>
      <c r="R81">
        <v>1</v>
      </c>
      <c r="S81">
        <v>1500000</v>
      </c>
      <c r="T81" t="s">
        <v>237</v>
      </c>
      <c r="U81" t="s">
        <v>238</v>
      </c>
      <c r="W81">
        <v>225</v>
      </c>
      <c r="X81" t="b">
        <v>0</v>
      </c>
    </row>
    <row r="82" spans="1:24" x14ac:dyDescent="0.25">
      <c r="A82">
        <v>81</v>
      </c>
      <c r="B82" t="s">
        <v>241</v>
      </c>
      <c r="C82">
        <v>4</v>
      </c>
      <c r="D82">
        <v>9</v>
      </c>
      <c r="E82">
        <v>70</v>
      </c>
      <c r="F82">
        <v>1</v>
      </c>
      <c r="G82" t="s">
        <v>112</v>
      </c>
      <c r="H82">
        <v>2</v>
      </c>
      <c r="I82" t="s">
        <v>112</v>
      </c>
      <c r="J82">
        <v>660</v>
      </c>
      <c r="K82">
        <v>2672</v>
      </c>
      <c r="L82">
        <v>1</v>
      </c>
      <c r="M82">
        <v>270</v>
      </c>
      <c r="N82">
        <v>723</v>
      </c>
      <c r="O82">
        <v>1</v>
      </c>
      <c r="P82">
        <v>34</v>
      </c>
      <c r="Q82">
        <v>54</v>
      </c>
      <c r="R82">
        <v>1</v>
      </c>
      <c r="S82">
        <v>1500000</v>
      </c>
      <c r="T82" t="s">
        <v>237</v>
      </c>
      <c r="U82" t="s">
        <v>238</v>
      </c>
      <c r="W82">
        <v>487.5</v>
      </c>
      <c r="X82" t="b">
        <v>0</v>
      </c>
    </row>
    <row r="83" spans="1:24" x14ac:dyDescent="0.25">
      <c r="A83">
        <v>82</v>
      </c>
      <c r="B83" t="s">
        <v>242</v>
      </c>
      <c r="C83">
        <v>3</v>
      </c>
      <c r="D83">
        <v>6</v>
      </c>
      <c r="E83">
        <v>25</v>
      </c>
      <c r="F83">
        <v>2</v>
      </c>
      <c r="G83" t="s">
        <v>112</v>
      </c>
      <c r="H83">
        <v>2</v>
      </c>
      <c r="I83" t="s">
        <v>112</v>
      </c>
      <c r="J83">
        <v>133</v>
      </c>
      <c r="K83">
        <v>831</v>
      </c>
      <c r="L83">
        <v>1</v>
      </c>
      <c r="M83">
        <v>99</v>
      </c>
      <c r="N83">
        <v>309</v>
      </c>
      <c r="O83">
        <v>1</v>
      </c>
      <c r="P83">
        <v>9</v>
      </c>
      <c r="Q83">
        <v>38</v>
      </c>
      <c r="R83">
        <v>1</v>
      </c>
      <c r="S83">
        <v>1500000</v>
      </c>
      <c r="T83" t="s">
        <v>237</v>
      </c>
      <c r="U83" t="s">
        <v>238</v>
      </c>
      <c r="W83">
        <v>225</v>
      </c>
      <c r="X83" t="b">
        <v>0</v>
      </c>
    </row>
    <row r="84" spans="1:24" x14ac:dyDescent="0.25">
      <c r="A84">
        <v>83</v>
      </c>
      <c r="B84" t="s">
        <v>243</v>
      </c>
      <c r="C84">
        <v>4</v>
      </c>
      <c r="D84">
        <v>9</v>
      </c>
      <c r="E84">
        <v>70</v>
      </c>
      <c r="F84">
        <v>2</v>
      </c>
      <c r="G84" t="s">
        <v>112</v>
      </c>
      <c r="H84">
        <v>2</v>
      </c>
      <c r="I84" t="s">
        <v>112</v>
      </c>
      <c r="J84">
        <v>665</v>
      </c>
      <c r="K84">
        <v>2613</v>
      </c>
      <c r="L84">
        <v>1</v>
      </c>
      <c r="M84">
        <v>278</v>
      </c>
      <c r="N84">
        <v>753</v>
      </c>
      <c r="O84">
        <v>1</v>
      </c>
      <c r="P84">
        <v>34</v>
      </c>
      <c r="Q84">
        <v>54</v>
      </c>
      <c r="R84">
        <v>1</v>
      </c>
      <c r="S84">
        <v>1500000</v>
      </c>
      <c r="T84" t="s">
        <v>237</v>
      </c>
      <c r="U84" t="s">
        <v>238</v>
      </c>
      <c r="W84">
        <v>487.5</v>
      </c>
      <c r="X84" t="b">
        <v>0</v>
      </c>
    </row>
    <row r="85" spans="1:24" x14ac:dyDescent="0.25">
      <c r="A85">
        <v>84</v>
      </c>
      <c r="B85" t="s">
        <v>244</v>
      </c>
      <c r="C85">
        <v>3</v>
      </c>
      <c r="D85">
        <v>6</v>
      </c>
      <c r="E85">
        <v>25</v>
      </c>
      <c r="F85">
        <v>3</v>
      </c>
      <c r="G85" t="s">
        <v>112</v>
      </c>
      <c r="H85">
        <v>2</v>
      </c>
      <c r="I85" t="s">
        <v>112</v>
      </c>
      <c r="J85">
        <v>111</v>
      </c>
      <c r="K85">
        <v>694</v>
      </c>
      <c r="L85">
        <v>1</v>
      </c>
      <c r="M85">
        <v>111</v>
      </c>
      <c r="N85">
        <v>347</v>
      </c>
      <c r="O85">
        <v>1</v>
      </c>
      <c r="P85">
        <v>7</v>
      </c>
      <c r="Q85">
        <v>29</v>
      </c>
      <c r="R85">
        <v>1</v>
      </c>
      <c r="S85">
        <v>1500000</v>
      </c>
      <c r="T85" t="s">
        <v>237</v>
      </c>
      <c r="U85" t="s">
        <v>245</v>
      </c>
      <c r="W85">
        <v>225</v>
      </c>
      <c r="X85" t="b">
        <v>0</v>
      </c>
    </row>
    <row r="86" spans="1:24" x14ac:dyDescent="0.25">
      <c r="A86">
        <v>85</v>
      </c>
      <c r="B86" t="s">
        <v>246</v>
      </c>
      <c r="C86">
        <v>4</v>
      </c>
      <c r="D86">
        <v>9</v>
      </c>
      <c r="E86">
        <v>70</v>
      </c>
      <c r="F86">
        <v>3</v>
      </c>
      <c r="G86" t="s">
        <v>112</v>
      </c>
      <c r="H86">
        <v>2</v>
      </c>
      <c r="I86" t="s">
        <v>112</v>
      </c>
      <c r="J86">
        <v>555</v>
      </c>
      <c r="K86">
        <v>2030</v>
      </c>
      <c r="L86">
        <v>1</v>
      </c>
      <c r="M86">
        <v>312</v>
      </c>
      <c r="N86">
        <v>928</v>
      </c>
      <c r="O86">
        <v>1</v>
      </c>
      <c r="P86">
        <v>26</v>
      </c>
      <c r="Q86">
        <v>70</v>
      </c>
      <c r="R86">
        <v>1</v>
      </c>
      <c r="S86">
        <v>1500000</v>
      </c>
      <c r="T86" t="s">
        <v>237</v>
      </c>
      <c r="U86" t="s">
        <v>245</v>
      </c>
      <c r="W86">
        <v>487.5</v>
      </c>
      <c r="X86" t="b">
        <v>0</v>
      </c>
    </row>
    <row r="87" spans="1:24" x14ac:dyDescent="0.25">
      <c r="A87">
        <v>86</v>
      </c>
      <c r="B87" t="s">
        <v>247</v>
      </c>
      <c r="C87">
        <v>3</v>
      </c>
      <c r="D87">
        <v>6</v>
      </c>
      <c r="E87">
        <v>25</v>
      </c>
      <c r="F87">
        <v>4</v>
      </c>
      <c r="G87" t="s">
        <v>112</v>
      </c>
      <c r="H87">
        <v>2</v>
      </c>
      <c r="I87" t="s">
        <v>112</v>
      </c>
      <c r="J87">
        <v>106</v>
      </c>
      <c r="K87">
        <v>663</v>
      </c>
      <c r="L87">
        <v>1</v>
      </c>
      <c r="M87">
        <v>116</v>
      </c>
      <c r="N87">
        <v>363</v>
      </c>
      <c r="O87">
        <v>1</v>
      </c>
      <c r="P87">
        <v>7</v>
      </c>
      <c r="Q87">
        <v>29</v>
      </c>
      <c r="R87">
        <v>1</v>
      </c>
      <c r="S87">
        <v>1500000</v>
      </c>
      <c r="T87" t="s">
        <v>237</v>
      </c>
      <c r="U87" t="s">
        <v>245</v>
      </c>
      <c r="W87">
        <v>225</v>
      </c>
      <c r="X87" t="b">
        <v>0</v>
      </c>
    </row>
    <row r="88" spans="1:24" x14ac:dyDescent="0.25">
      <c r="A88">
        <v>87</v>
      </c>
      <c r="B88" t="s">
        <v>248</v>
      </c>
      <c r="C88">
        <v>4</v>
      </c>
      <c r="D88">
        <v>9</v>
      </c>
      <c r="E88">
        <v>70</v>
      </c>
      <c r="F88">
        <v>4</v>
      </c>
      <c r="G88" t="s">
        <v>112</v>
      </c>
      <c r="H88">
        <v>2</v>
      </c>
      <c r="I88" t="s">
        <v>112</v>
      </c>
      <c r="J88">
        <v>530</v>
      </c>
      <c r="K88">
        <v>1972</v>
      </c>
      <c r="L88">
        <v>1</v>
      </c>
      <c r="M88">
        <v>327</v>
      </c>
      <c r="N88">
        <v>957</v>
      </c>
      <c r="O88">
        <v>1</v>
      </c>
      <c r="P88">
        <v>26</v>
      </c>
      <c r="Q88">
        <v>70</v>
      </c>
      <c r="R88">
        <v>1</v>
      </c>
      <c r="S88">
        <v>1500000</v>
      </c>
      <c r="T88" t="s">
        <v>237</v>
      </c>
      <c r="U88" t="s">
        <v>245</v>
      </c>
      <c r="W88">
        <v>487.5</v>
      </c>
      <c r="X88" t="b">
        <v>0</v>
      </c>
    </row>
    <row r="89" spans="1:24" x14ac:dyDescent="0.25">
      <c r="A89">
        <v>88</v>
      </c>
      <c r="B89" t="s">
        <v>249</v>
      </c>
      <c r="C89">
        <v>3</v>
      </c>
      <c r="D89">
        <v>5</v>
      </c>
      <c r="E89">
        <v>25</v>
      </c>
      <c r="F89">
        <v>0</v>
      </c>
      <c r="G89" t="s">
        <v>112</v>
      </c>
      <c r="H89">
        <v>3</v>
      </c>
      <c r="I89" t="s">
        <v>112</v>
      </c>
      <c r="J89">
        <v>21</v>
      </c>
      <c r="K89">
        <v>263</v>
      </c>
      <c r="L89">
        <v>0.7</v>
      </c>
      <c r="M89">
        <v>39</v>
      </c>
      <c r="N89">
        <v>244</v>
      </c>
      <c r="O89">
        <v>0.7</v>
      </c>
      <c r="P89">
        <v>31</v>
      </c>
      <c r="Q89">
        <v>258</v>
      </c>
      <c r="R89">
        <v>0.7</v>
      </c>
      <c r="S89">
        <v>1000000</v>
      </c>
      <c r="T89" t="s">
        <v>250</v>
      </c>
      <c r="U89" t="s">
        <v>251</v>
      </c>
      <c r="W89">
        <v>200</v>
      </c>
      <c r="X89" t="b">
        <v>0</v>
      </c>
    </row>
    <row r="90" spans="1:24" x14ac:dyDescent="0.25">
      <c r="A90">
        <v>89</v>
      </c>
      <c r="B90" t="s">
        <v>252</v>
      </c>
      <c r="C90">
        <v>4</v>
      </c>
      <c r="D90">
        <v>8</v>
      </c>
      <c r="E90">
        <v>70</v>
      </c>
      <c r="F90">
        <v>0</v>
      </c>
      <c r="G90" t="s">
        <v>112</v>
      </c>
      <c r="H90">
        <v>3</v>
      </c>
      <c r="I90" t="s">
        <v>112</v>
      </c>
      <c r="J90">
        <v>210</v>
      </c>
      <c r="K90">
        <v>840</v>
      </c>
      <c r="L90">
        <v>0.7</v>
      </c>
      <c r="M90">
        <v>220</v>
      </c>
      <c r="N90">
        <v>502</v>
      </c>
      <c r="O90">
        <v>0.7</v>
      </c>
      <c r="P90">
        <v>232</v>
      </c>
      <c r="Q90">
        <v>451</v>
      </c>
      <c r="R90">
        <v>0.7</v>
      </c>
      <c r="S90">
        <v>1000000</v>
      </c>
      <c r="T90" t="s">
        <v>250</v>
      </c>
      <c r="U90" t="s">
        <v>251</v>
      </c>
      <c r="W90">
        <v>450</v>
      </c>
      <c r="X90" t="b">
        <v>0</v>
      </c>
    </row>
    <row r="91" spans="1:24" x14ac:dyDescent="0.25">
      <c r="A91">
        <v>90</v>
      </c>
      <c r="B91" t="s">
        <v>253</v>
      </c>
      <c r="C91">
        <v>3</v>
      </c>
      <c r="D91">
        <v>5</v>
      </c>
      <c r="E91">
        <v>25</v>
      </c>
      <c r="F91">
        <v>1</v>
      </c>
      <c r="G91" t="s">
        <v>112</v>
      </c>
      <c r="H91">
        <v>3</v>
      </c>
      <c r="I91" t="s">
        <v>112</v>
      </c>
      <c r="J91">
        <v>25</v>
      </c>
      <c r="K91">
        <v>313</v>
      </c>
      <c r="L91">
        <v>0.7</v>
      </c>
      <c r="M91">
        <v>32</v>
      </c>
      <c r="N91">
        <v>200</v>
      </c>
      <c r="O91">
        <v>0.7</v>
      </c>
      <c r="P91">
        <v>33</v>
      </c>
      <c r="Q91">
        <v>275</v>
      </c>
      <c r="R91">
        <v>0.7</v>
      </c>
      <c r="S91">
        <v>1000000</v>
      </c>
      <c r="T91" t="s">
        <v>254</v>
      </c>
      <c r="U91" t="s">
        <v>189</v>
      </c>
      <c r="W91">
        <v>200</v>
      </c>
      <c r="X91" t="b">
        <v>0</v>
      </c>
    </row>
    <row r="92" spans="1:24" x14ac:dyDescent="0.25">
      <c r="A92">
        <v>91</v>
      </c>
      <c r="B92" t="s">
        <v>255</v>
      </c>
      <c r="C92">
        <v>4</v>
      </c>
      <c r="D92">
        <v>8</v>
      </c>
      <c r="E92">
        <v>70</v>
      </c>
      <c r="F92">
        <v>1</v>
      </c>
      <c r="G92" t="s">
        <v>112</v>
      </c>
      <c r="H92">
        <v>3</v>
      </c>
      <c r="I92" t="s">
        <v>112</v>
      </c>
      <c r="J92">
        <v>250</v>
      </c>
      <c r="K92">
        <v>863</v>
      </c>
      <c r="L92">
        <v>0.7</v>
      </c>
      <c r="M92">
        <v>180</v>
      </c>
      <c r="N92">
        <v>484</v>
      </c>
      <c r="O92">
        <v>0.7</v>
      </c>
      <c r="P92">
        <v>248</v>
      </c>
      <c r="Q92">
        <v>513</v>
      </c>
      <c r="R92">
        <v>0.7</v>
      </c>
      <c r="S92">
        <v>1000000</v>
      </c>
      <c r="T92" t="s">
        <v>254</v>
      </c>
      <c r="U92" t="s">
        <v>189</v>
      </c>
      <c r="W92">
        <v>450</v>
      </c>
      <c r="X92" t="b">
        <v>0</v>
      </c>
    </row>
    <row r="93" spans="1:24" x14ac:dyDescent="0.25">
      <c r="A93">
        <v>92</v>
      </c>
      <c r="B93" t="s">
        <v>256</v>
      </c>
      <c r="C93">
        <v>3</v>
      </c>
      <c r="D93">
        <v>5</v>
      </c>
      <c r="E93">
        <v>25</v>
      </c>
      <c r="F93">
        <v>2</v>
      </c>
      <c r="G93" t="s">
        <v>112</v>
      </c>
      <c r="H93">
        <v>3</v>
      </c>
      <c r="I93" t="s">
        <v>112</v>
      </c>
      <c r="J93">
        <v>22</v>
      </c>
      <c r="K93">
        <v>275</v>
      </c>
      <c r="L93">
        <v>0.7</v>
      </c>
      <c r="M93">
        <v>35</v>
      </c>
      <c r="N93">
        <v>219</v>
      </c>
      <c r="O93">
        <v>0.7</v>
      </c>
      <c r="P93">
        <v>32</v>
      </c>
      <c r="Q93">
        <v>267</v>
      </c>
      <c r="R93">
        <v>0.7</v>
      </c>
      <c r="S93">
        <v>1000000</v>
      </c>
      <c r="T93" t="s">
        <v>257</v>
      </c>
      <c r="U93" t="s">
        <v>258</v>
      </c>
      <c r="W93">
        <v>200</v>
      </c>
      <c r="X93" t="b">
        <v>0</v>
      </c>
    </row>
    <row r="94" spans="1:24" x14ac:dyDescent="0.25">
      <c r="A94">
        <v>93</v>
      </c>
      <c r="B94" t="s">
        <v>259</v>
      </c>
      <c r="C94">
        <v>4</v>
      </c>
      <c r="D94">
        <v>8</v>
      </c>
      <c r="E94">
        <v>70</v>
      </c>
      <c r="F94">
        <v>2</v>
      </c>
      <c r="G94" t="s">
        <v>112</v>
      </c>
      <c r="H94">
        <v>3</v>
      </c>
      <c r="I94" t="s">
        <v>112</v>
      </c>
      <c r="J94">
        <v>220</v>
      </c>
      <c r="K94">
        <v>805</v>
      </c>
      <c r="L94">
        <v>0.7</v>
      </c>
      <c r="M94">
        <v>197</v>
      </c>
      <c r="N94">
        <v>490</v>
      </c>
      <c r="O94">
        <v>0.7</v>
      </c>
      <c r="P94">
        <v>240</v>
      </c>
      <c r="Q94">
        <v>498</v>
      </c>
      <c r="R94">
        <v>0.7</v>
      </c>
      <c r="S94">
        <v>1000000</v>
      </c>
      <c r="T94" t="s">
        <v>257</v>
      </c>
      <c r="U94" t="s">
        <v>258</v>
      </c>
      <c r="W94">
        <v>450</v>
      </c>
      <c r="X94" t="b">
        <v>0</v>
      </c>
    </row>
    <row r="95" spans="1:24" x14ac:dyDescent="0.25">
      <c r="A95">
        <v>94</v>
      </c>
      <c r="B95" t="s">
        <v>260</v>
      </c>
      <c r="C95">
        <v>3</v>
      </c>
      <c r="D95">
        <v>5</v>
      </c>
      <c r="E95">
        <v>25</v>
      </c>
      <c r="F95">
        <v>3</v>
      </c>
      <c r="G95" t="s">
        <v>112</v>
      </c>
      <c r="H95">
        <v>3</v>
      </c>
      <c r="I95" t="s">
        <v>112</v>
      </c>
      <c r="J95">
        <v>22</v>
      </c>
      <c r="K95">
        <v>275</v>
      </c>
      <c r="L95">
        <v>0.7</v>
      </c>
      <c r="M95">
        <v>28</v>
      </c>
      <c r="N95">
        <v>175</v>
      </c>
      <c r="O95">
        <v>0.7</v>
      </c>
      <c r="P95">
        <v>34</v>
      </c>
      <c r="Q95">
        <v>283</v>
      </c>
      <c r="R95">
        <v>0.7</v>
      </c>
      <c r="S95">
        <v>1000000</v>
      </c>
      <c r="T95" t="s">
        <v>254</v>
      </c>
      <c r="U95" t="s">
        <v>7</v>
      </c>
      <c r="W95">
        <v>200</v>
      </c>
      <c r="X95" t="b">
        <v>0</v>
      </c>
    </row>
    <row r="96" spans="1:24" x14ac:dyDescent="0.25">
      <c r="A96">
        <v>95</v>
      </c>
      <c r="B96" t="s">
        <v>261</v>
      </c>
      <c r="C96">
        <v>4</v>
      </c>
      <c r="D96">
        <v>8</v>
      </c>
      <c r="E96">
        <v>70</v>
      </c>
      <c r="F96">
        <v>3</v>
      </c>
      <c r="G96" t="s">
        <v>112</v>
      </c>
      <c r="H96">
        <v>3</v>
      </c>
      <c r="I96" t="s">
        <v>112</v>
      </c>
      <c r="J96">
        <v>220</v>
      </c>
      <c r="K96">
        <v>817</v>
      </c>
      <c r="L96">
        <v>0.7</v>
      </c>
      <c r="M96">
        <v>158</v>
      </c>
      <c r="N96">
        <v>461</v>
      </c>
      <c r="O96">
        <v>0.7</v>
      </c>
      <c r="P96">
        <v>255</v>
      </c>
      <c r="Q96">
        <v>529</v>
      </c>
      <c r="R96">
        <v>0.7</v>
      </c>
      <c r="S96">
        <v>1000000</v>
      </c>
      <c r="T96" t="s">
        <v>254</v>
      </c>
      <c r="U96" t="s">
        <v>7</v>
      </c>
      <c r="W96">
        <v>450</v>
      </c>
      <c r="X96" t="b">
        <v>0</v>
      </c>
    </row>
    <row r="97" spans="1:24" x14ac:dyDescent="0.25">
      <c r="A97">
        <v>96</v>
      </c>
      <c r="B97" t="s">
        <v>262</v>
      </c>
      <c r="C97">
        <v>3</v>
      </c>
      <c r="D97">
        <v>5</v>
      </c>
      <c r="E97">
        <v>25</v>
      </c>
      <c r="F97">
        <v>4</v>
      </c>
      <c r="G97" t="s">
        <v>112</v>
      </c>
      <c r="H97">
        <v>3</v>
      </c>
      <c r="I97" t="s">
        <v>112</v>
      </c>
      <c r="J97">
        <v>23</v>
      </c>
      <c r="K97">
        <v>288</v>
      </c>
      <c r="L97">
        <v>0.7</v>
      </c>
      <c r="M97">
        <v>42</v>
      </c>
      <c r="N97">
        <v>263</v>
      </c>
      <c r="O97">
        <v>0.7</v>
      </c>
      <c r="P97">
        <v>30</v>
      </c>
      <c r="Q97">
        <v>250</v>
      </c>
      <c r="R97">
        <v>0.7</v>
      </c>
      <c r="S97">
        <v>1000000</v>
      </c>
      <c r="T97" t="s">
        <v>263</v>
      </c>
      <c r="U97" t="s">
        <v>264</v>
      </c>
      <c r="W97">
        <v>200</v>
      </c>
      <c r="X97" t="b">
        <v>0</v>
      </c>
    </row>
    <row r="98" spans="1:24" x14ac:dyDescent="0.25">
      <c r="A98">
        <v>97</v>
      </c>
      <c r="B98" t="s">
        <v>265</v>
      </c>
      <c r="C98">
        <v>4</v>
      </c>
      <c r="D98">
        <v>8</v>
      </c>
      <c r="E98">
        <v>70</v>
      </c>
      <c r="F98">
        <v>4</v>
      </c>
      <c r="G98" t="s">
        <v>112</v>
      </c>
      <c r="H98">
        <v>3</v>
      </c>
      <c r="I98" t="s">
        <v>112</v>
      </c>
      <c r="J98">
        <v>230</v>
      </c>
      <c r="K98">
        <v>840</v>
      </c>
      <c r="L98">
        <v>0.7</v>
      </c>
      <c r="M98">
        <v>237</v>
      </c>
      <c r="N98">
        <v>525</v>
      </c>
      <c r="O98">
        <v>0.7</v>
      </c>
      <c r="P98">
        <v>225</v>
      </c>
      <c r="Q98">
        <v>443</v>
      </c>
      <c r="R98">
        <v>0.7</v>
      </c>
      <c r="S98">
        <v>1000000</v>
      </c>
      <c r="T98" t="s">
        <v>263</v>
      </c>
      <c r="U98" t="s">
        <v>264</v>
      </c>
      <c r="W98">
        <v>450</v>
      </c>
      <c r="X98" t="b">
        <v>0</v>
      </c>
    </row>
    <row r="99" spans="1:24" x14ac:dyDescent="0.25">
      <c r="A99">
        <v>98</v>
      </c>
      <c r="B99" t="s">
        <v>266</v>
      </c>
      <c r="C99">
        <v>3</v>
      </c>
      <c r="D99">
        <v>6</v>
      </c>
      <c r="E99">
        <v>25</v>
      </c>
      <c r="F99">
        <v>0</v>
      </c>
      <c r="G99" t="s">
        <v>112</v>
      </c>
      <c r="H99">
        <v>1</v>
      </c>
      <c r="I99" t="s">
        <v>112</v>
      </c>
      <c r="J99">
        <v>52</v>
      </c>
      <c r="K99">
        <v>650</v>
      </c>
      <c r="L99">
        <v>1</v>
      </c>
      <c r="M99">
        <v>62</v>
      </c>
      <c r="N99">
        <v>388</v>
      </c>
      <c r="O99">
        <v>1</v>
      </c>
      <c r="P99">
        <v>15</v>
      </c>
      <c r="Q99">
        <v>125</v>
      </c>
      <c r="R99">
        <v>1</v>
      </c>
      <c r="S99">
        <v>1500000</v>
      </c>
      <c r="T99" t="s">
        <v>157</v>
      </c>
      <c r="U99" t="s">
        <v>267</v>
      </c>
      <c r="W99">
        <v>225</v>
      </c>
      <c r="X99" t="b">
        <v>0</v>
      </c>
    </row>
    <row r="100" spans="1:24" x14ac:dyDescent="0.25">
      <c r="A100">
        <v>99</v>
      </c>
      <c r="B100" t="s">
        <v>268</v>
      </c>
      <c r="C100">
        <v>4</v>
      </c>
      <c r="D100">
        <v>9</v>
      </c>
      <c r="E100">
        <v>70</v>
      </c>
      <c r="F100">
        <v>0</v>
      </c>
      <c r="G100" t="s">
        <v>112</v>
      </c>
      <c r="H100">
        <v>1</v>
      </c>
      <c r="I100" t="s">
        <v>112</v>
      </c>
      <c r="J100">
        <v>520</v>
      </c>
      <c r="K100">
        <v>1330</v>
      </c>
      <c r="L100">
        <v>1</v>
      </c>
      <c r="M100">
        <v>349</v>
      </c>
      <c r="N100">
        <v>869</v>
      </c>
      <c r="O100">
        <v>1</v>
      </c>
      <c r="P100">
        <v>113</v>
      </c>
      <c r="Q100">
        <v>288</v>
      </c>
      <c r="R100">
        <v>1</v>
      </c>
      <c r="S100">
        <v>1500000</v>
      </c>
      <c r="T100" t="s">
        <v>157</v>
      </c>
      <c r="U100" t="s">
        <v>267</v>
      </c>
      <c r="W100">
        <v>487.5</v>
      </c>
      <c r="X100" t="b">
        <v>0</v>
      </c>
    </row>
    <row r="101" spans="1:24" x14ac:dyDescent="0.25">
      <c r="A101">
        <v>100</v>
      </c>
      <c r="B101" t="s">
        <v>269</v>
      </c>
      <c r="C101">
        <v>3</v>
      </c>
      <c r="D101">
        <v>6</v>
      </c>
      <c r="E101">
        <v>25</v>
      </c>
      <c r="F101">
        <v>1</v>
      </c>
      <c r="G101" t="s">
        <v>112</v>
      </c>
      <c r="H101">
        <v>1</v>
      </c>
      <c r="I101" t="s">
        <v>112</v>
      </c>
      <c r="J101">
        <v>51</v>
      </c>
      <c r="K101">
        <v>638</v>
      </c>
      <c r="L101">
        <v>1</v>
      </c>
      <c r="M101">
        <v>66</v>
      </c>
      <c r="N101">
        <v>413</v>
      </c>
      <c r="O101">
        <v>1</v>
      </c>
      <c r="P101">
        <v>12</v>
      </c>
      <c r="Q101">
        <v>100</v>
      </c>
      <c r="R101">
        <v>1</v>
      </c>
      <c r="S101">
        <v>1500000</v>
      </c>
      <c r="T101" t="s">
        <v>163</v>
      </c>
      <c r="U101" t="s">
        <v>270</v>
      </c>
      <c r="W101">
        <v>225</v>
      </c>
      <c r="X101" t="b">
        <v>0</v>
      </c>
    </row>
    <row r="102" spans="1:24" x14ac:dyDescent="0.25">
      <c r="A102">
        <v>101</v>
      </c>
      <c r="B102" t="s">
        <v>271</v>
      </c>
      <c r="C102">
        <v>4</v>
      </c>
      <c r="D102">
        <v>9</v>
      </c>
      <c r="E102">
        <v>70</v>
      </c>
      <c r="F102">
        <v>1</v>
      </c>
      <c r="G102" t="s">
        <v>112</v>
      </c>
      <c r="H102">
        <v>1</v>
      </c>
      <c r="I102" t="s">
        <v>112</v>
      </c>
      <c r="J102">
        <v>510</v>
      </c>
      <c r="K102">
        <v>1213</v>
      </c>
      <c r="L102">
        <v>1</v>
      </c>
      <c r="M102">
        <v>372</v>
      </c>
      <c r="N102">
        <v>928</v>
      </c>
      <c r="O102">
        <v>1</v>
      </c>
      <c r="P102">
        <v>90</v>
      </c>
      <c r="Q102">
        <v>241</v>
      </c>
      <c r="R102">
        <v>1</v>
      </c>
      <c r="S102">
        <v>1500000</v>
      </c>
      <c r="T102" t="s">
        <v>163</v>
      </c>
      <c r="U102" t="s">
        <v>270</v>
      </c>
      <c r="W102">
        <v>487.5</v>
      </c>
      <c r="X102" t="b">
        <v>0</v>
      </c>
    </row>
    <row r="103" spans="1:24" x14ac:dyDescent="0.25">
      <c r="A103">
        <v>102</v>
      </c>
      <c r="B103" t="s">
        <v>272</v>
      </c>
      <c r="C103">
        <v>3</v>
      </c>
      <c r="D103">
        <v>6</v>
      </c>
      <c r="E103">
        <v>25</v>
      </c>
      <c r="F103">
        <v>2</v>
      </c>
      <c r="G103" t="s">
        <v>112</v>
      </c>
      <c r="H103">
        <v>1</v>
      </c>
      <c r="I103" t="s">
        <v>112</v>
      </c>
      <c r="J103">
        <v>56</v>
      </c>
      <c r="K103">
        <v>700</v>
      </c>
      <c r="L103">
        <v>1</v>
      </c>
      <c r="M103">
        <v>64</v>
      </c>
      <c r="N103">
        <v>400</v>
      </c>
      <c r="O103">
        <v>1</v>
      </c>
      <c r="P103">
        <v>13</v>
      </c>
      <c r="Q103">
        <v>108</v>
      </c>
      <c r="R103">
        <v>1</v>
      </c>
      <c r="S103">
        <v>1500000</v>
      </c>
      <c r="T103" t="s">
        <v>169</v>
      </c>
      <c r="U103" t="s">
        <v>273</v>
      </c>
      <c r="W103">
        <v>225</v>
      </c>
      <c r="X103" t="b">
        <v>0</v>
      </c>
    </row>
    <row r="104" spans="1:24" x14ac:dyDescent="0.25">
      <c r="A104">
        <v>103</v>
      </c>
      <c r="B104" t="s">
        <v>274</v>
      </c>
      <c r="C104">
        <v>4</v>
      </c>
      <c r="D104">
        <v>9</v>
      </c>
      <c r="E104">
        <v>70</v>
      </c>
      <c r="F104">
        <v>2</v>
      </c>
      <c r="G104" t="s">
        <v>112</v>
      </c>
      <c r="H104">
        <v>1</v>
      </c>
      <c r="I104" t="s">
        <v>112</v>
      </c>
      <c r="J104">
        <v>560</v>
      </c>
      <c r="K104">
        <v>1272</v>
      </c>
      <c r="L104">
        <v>1</v>
      </c>
      <c r="M104">
        <v>360</v>
      </c>
      <c r="N104">
        <v>898</v>
      </c>
      <c r="O104">
        <v>1</v>
      </c>
      <c r="P104">
        <v>97</v>
      </c>
      <c r="Q104">
        <v>249</v>
      </c>
      <c r="R104">
        <v>1</v>
      </c>
      <c r="S104">
        <v>1500000</v>
      </c>
      <c r="T104" t="s">
        <v>169</v>
      </c>
      <c r="U104" t="s">
        <v>273</v>
      </c>
      <c r="W104">
        <v>487.5</v>
      </c>
      <c r="X104" t="b">
        <v>0</v>
      </c>
    </row>
    <row r="105" spans="1:24" x14ac:dyDescent="0.25">
      <c r="A105">
        <v>104</v>
      </c>
      <c r="B105" t="s">
        <v>275</v>
      </c>
      <c r="C105">
        <v>3</v>
      </c>
      <c r="D105">
        <v>6</v>
      </c>
      <c r="E105">
        <v>25</v>
      </c>
      <c r="F105">
        <v>3</v>
      </c>
      <c r="G105" t="s">
        <v>112</v>
      </c>
      <c r="H105">
        <v>1</v>
      </c>
      <c r="I105" t="s">
        <v>112</v>
      </c>
      <c r="J105">
        <v>54</v>
      </c>
      <c r="K105">
        <v>675</v>
      </c>
      <c r="L105">
        <v>1</v>
      </c>
      <c r="M105">
        <v>61</v>
      </c>
      <c r="N105">
        <v>381</v>
      </c>
      <c r="O105">
        <v>1</v>
      </c>
      <c r="P105">
        <v>14</v>
      </c>
      <c r="Q105">
        <v>117</v>
      </c>
      <c r="R105">
        <v>1</v>
      </c>
      <c r="S105">
        <v>1500000</v>
      </c>
      <c r="T105" t="s">
        <v>175</v>
      </c>
      <c r="U105" t="s">
        <v>276</v>
      </c>
      <c r="W105">
        <v>225</v>
      </c>
      <c r="X105" t="b">
        <v>0</v>
      </c>
    </row>
    <row r="106" spans="1:24" x14ac:dyDescent="0.25">
      <c r="A106">
        <v>105</v>
      </c>
      <c r="B106" t="s">
        <v>277</v>
      </c>
      <c r="C106">
        <v>4</v>
      </c>
      <c r="D106">
        <v>9</v>
      </c>
      <c r="E106">
        <v>70</v>
      </c>
      <c r="F106">
        <v>3</v>
      </c>
      <c r="G106" t="s">
        <v>112</v>
      </c>
      <c r="H106">
        <v>1</v>
      </c>
      <c r="I106" t="s">
        <v>112</v>
      </c>
      <c r="J106">
        <v>540</v>
      </c>
      <c r="K106">
        <v>1237</v>
      </c>
      <c r="L106">
        <v>1</v>
      </c>
      <c r="M106">
        <v>343</v>
      </c>
      <c r="N106">
        <v>887</v>
      </c>
      <c r="O106">
        <v>1</v>
      </c>
      <c r="P106">
        <v>105</v>
      </c>
      <c r="Q106">
        <v>280</v>
      </c>
      <c r="R106">
        <v>1</v>
      </c>
      <c r="S106">
        <v>1500000</v>
      </c>
      <c r="T106" t="s">
        <v>175</v>
      </c>
      <c r="U106" t="s">
        <v>276</v>
      </c>
      <c r="W106">
        <v>487.5</v>
      </c>
      <c r="X106" t="b">
        <v>0</v>
      </c>
    </row>
    <row r="107" spans="1:24" x14ac:dyDescent="0.25">
      <c r="A107">
        <v>106</v>
      </c>
      <c r="B107" t="s">
        <v>278</v>
      </c>
      <c r="C107">
        <v>3</v>
      </c>
      <c r="D107">
        <v>7</v>
      </c>
      <c r="E107">
        <v>25</v>
      </c>
      <c r="F107">
        <v>0</v>
      </c>
      <c r="G107" t="s">
        <v>112</v>
      </c>
      <c r="H107">
        <v>2</v>
      </c>
      <c r="I107" t="s">
        <v>112</v>
      </c>
      <c r="J107">
        <v>77</v>
      </c>
      <c r="K107">
        <v>963</v>
      </c>
      <c r="L107">
        <v>1</v>
      </c>
      <c r="M107">
        <v>92</v>
      </c>
      <c r="N107">
        <v>575</v>
      </c>
      <c r="O107">
        <v>1</v>
      </c>
      <c r="P107">
        <v>1</v>
      </c>
      <c r="Q107">
        <v>8</v>
      </c>
      <c r="R107">
        <v>1</v>
      </c>
      <c r="S107">
        <v>1500000</v>
      </c>
      <c r="T107" t="s">
        <v>218</v>
      </c>
      <c r="U107" t="s">
        <v>186</v>
      </c>
      <c r="W107">
        <v>250</v>
      </c>
      <c r="X107" t="b">
        <v>0</v>
      </c>
    </row>
    <row r="108" spans="1:24" x14ac:dyDescent="0.25">
      <c r="A108">
        <v>107</v>
      </c>
      <c r="B108" t="s">
        <v>279</v>
      </c>
      <c r="C108">
        <v>4</v>
      </c>
      <c r="D108">
        <v>10</v>
      </c>
      <c r="E108">
        <v>70</v>
      </c>
      <c r="F108">
        <v>0</v>
      </c>
      <c r="G108" t="s">
        <v>112</v>
      </c>
      <c r="H108">
        <v>2</v>
      </c>
      <c r="I108" t="s">
        <v>112</v>
      </c>
      <c r="J108">
        <v>770</v>
      </c>
      <c r="K108">
        <v>3150</v>
      </c>
      <c r="L108">
        <v>1.5</v>
      </c>
      <c r="M108">
        <v>518</v>
      </c>
      <c r="N108">
        <v>1163</v>
      </c>
      <c r="O108">
        <v>1.5</v>
      </c>
      <c r="P108">
        <v>7</v>
      </c>
      <c r="Q108">
        <v>0</v>
      </c>
      <c r="R108">
        <v>1.5</v>
      </c>
      <c r="S108">
        <v>4000000</v>
      </c>
      <c r="T108" t="s">
        <v>218</v>
      </c>
      <c r="U108" t="s">
        <v>186</v>
      </c>
      <c r="W108">
        <v>525</v>
      </c>
      <c r="X108" t="b">
        <v>0</v>
      </c>
    </row>
    <row r="109" spans="1:24" x14ac:dyDescent="0.25">
      <c r="A109">
        <v>108</v>
      </c>
      <c r="B109" t="s">
        <v>280</v>
      </c>
      <c r="C109">
        <v>3</v>
      </c>
      <c r="D109">
        <v>6</v>
      </c>
      <c r="E109">
        <v>25</v>
      </c>
      <c r="F109">
        <v>4</v>
      </c>
      <c r="G109" t="s">
        <v>112</v>
      </c>
      <c r="H109">
        <v>1</v>
      </c>
      <c r="I109" t="s">
        <v>112</v>
      </c>
      <c r="J109">
        <v>55</v>
      </c>
      <c r="K109">
        <v>688</v>
      </c>
      <c r="L109">
        <v>1</v>
      </c>
      <c r="M109">
        <v>65</v>
      </c>
      <c r="N109">
        <v>406</v>
      </c>
      <c r="O109">
        <v>1</v>
      </c>
      <c r="P109">
        <v>12</v>
      </c>
      <c r="Q109">
        <v>100</v>
      </c>
      <c r="R109">
        <v>1</v>
      </c>
      <c r="S109">
        <v>1500000</v>
      </c>
      <c r="T109" t="s">
        <v>181</v>
      </c>
      <c r="U109" t="s">
        <v>281</v>
      </c>
      <c r="W109">
        <v>225</v>
      </c>
      <c r="X109" t="b">
        <v>0</v>
      </c>
    </row>
    <row r="110" spans="1:24" x14ac:dyDescent="0.25">
      <c r="A110">
        <v>109</v>
      </c>
      <c r="B110" t="s">
        <v>282</v>
      </c>
      <c r="C110">
        <v>4</v>
      </c>
      <c r="D110">
        <v>9</v>
      </c>
      <c r="E110">
        <v>70</v>
      </c>
      <c r="F110">
        <v>4</v>
      </c>
      <c r="G110" t="s">
        <v>112</v>
      </c>
      <c r="H110">
        <v>1</v>
      </c>
      <c r="I110" t="s">
        <v>112</v>
      </c>
      <c r="J110">
        <v>550</v>
      </c>
      <c r="K110">
        <v>1307</v>
      </c>
      <c r="L110">
        <v>1</v>
      </c>
      <c r="M110">
        <v>365</v>
      </c>
      <c r="N110">
        <v>916</v>
      </c>
      <c r="O110">
        <v>1</v>
      </c>
      <c r="P110">
        <v>90</v>
      </c>
      <c r="Q110">
        <v>233</v>
      </c>
      <c r="R110">
        <v>1</v>
      </c>
      <c r="S110">
        <v>1500000</v>
      </c>
      <c r="T110" t="s">
        <v>181</v>
      </c>
      <c r="U110" t="s">
        <v>281</v>
      </c>
      <c r="W110">
        <v>487.5</v>
      </c>
      <c r="X110" t="b">
        <v>0</v>
      </c>
    </row>
    <row r="111" spans="1:24" x14ac:dyDescent="0.25">
      <c r="A111">
        <v>110</v>
      </c>
      <c r="B111" t="s">
        <v>283</v>
      </c>
      <c r="C111">
        <v>3</v>
      </c>
      <c r="D111">
        <v>6</v>
      </c>
      <c r="E111">
        <v>25</v>
      </c>
      <c r="F111">
        <v>4</v>
      </c>
      <c r="G111" t="s">
        <v>112</v>
      </c>
      <c r="H111">
        <v>1</v>
      </c>
      <c r="I111" t="s">
        <v>112</v>
      </c>
      <c r="J111">
        <v>61</v>
      </c>
      <c r="K111">
        <v>763</v>
      </c>
      <c r="L111">
        <v>1</v>
      </c>
      <c r="M111">
        <v>61</v>
      </c>
      <c r="N111">
        <v>381</v>
      </c>
      <c r="O111">
        <v>1</v>
      </c>
      <c r="P111">
        <v>15</v>
      </c>
      <c r="Q111">
        <v>125</v>
      </c>
      <c r="R111">
        <v>1</v>
      </c>
      <c r="S111">
        <v>1500000</v>
      </c>
      <c r="T111" t="s">
        <v>112</v>
      </c>
      <c r="U111" t="s">
        <v>198</v>
      </c>
      <c r="W111">
        <v>225</v>
      </c>
      <c r="X111" t="b">
        <v>0</v>
      </c>
    </row>
    <row r="112" spans="1:24" x14ac:dyDescent="0.25">
      <c r="A112">
        <v>111</v>
      </c>
      <c r="B112" t="s">
        <v>284</v>
      </c>
      <c r="C112">
        <v>4</v>
      </c>
      <c r="D112">
        <v>10</v>
      </c>
      <c r="E112">
        <v>70</v>
      </c>
      <c r="F112">
        <v>4</v>
      </c>
      <c r="G112" t="s">
        <v>112</v>
      </c>
      <c r="H112">
        <v>1</v>
      </c>
      <c r="I112" t="s">
        <v>112</v>
      </c>
      <c r="J112">
        <v>610</v>
      </c>
      <c r="K112">
        <v>1725</v>
      </c>
      <c r="L112">
        <v>1.5</v>
      </c>
      <c r="M112">
        <v>343</v>
      </c>
      <c r="N112">
        <v>999</v>
      </c>
      <c r="O112">
        <v>1.5</v>
      </c>
      <c r="P112">
        <v>113</v>
      </c>
      <c r="Q112">
        <v>319</v>
      </c>
      <c r="R112">
        <v>1.5</v>
      </c>
      <c r="S112">
        <v>4000000</v>
      </c>
      <c r="T112" t="s">
        <v>153</v>
      </c>
      <c r="U112" t="s">
        <v>198</v>
      </c>
      <c r="W112">
        <v>525</v>
      </c>
      <c r="X112" t="b">
        <v>0</v>
      </c>
    </row>
    <row r="113" spans="1:24" x14ac:dyDescent="0.25">
      <c r="A113">
        <v>112</v>
      </c>
      <c r="B113" t="s">
        <v>285</v>
      </c>
      <c r="C113">
        <v>4</v>
      </c>
      <c r="D113">
        <v>7</v>
      </c>
      <c r="E113">
        <v>35</v>
      </c>
      <c r="F113">
        <v>0</v>
      </c>
      <c r="G113" t="s">
        <v>112</v>
      </c>
      <c r="H113">
        <v>4</v>
      </c>
      <c r="I113" t="s">
        <v>112</v>
      </c>
      <c r="J113">
        <v>114</v>
      </c>
      <c r="K113">
        <v>998</v>
      </c>
      <c r="L113">
        <v>1</v>
      </c>
      <c r="M113">
        <v>107</v>
      </c>
      <c r="N113">
        <v>468</v>
      </c>
      <c r="O113">
        <v>1</v>
      </c>
      <c r="P113">
        <v>20</v>
      </c>
      <c r="Q113">
        <v>117</v>
      </c>
      <c r="R113">
        <v>1</v>
      </c>
      <c r="S113">
        <v>1500000</v>
      </c>
      <c r="T113" t="s">
        <v>114</v>
      </c>
      <c r="U113" t="s">
        <v>286</v>
      </c>
      <c r="W113">
        <v>275</v>
      </c>
      <c r="X113" t="b">
        <v>0</v>
      </c>
    </row>
    <row r="114" spans="1:24" x14ac:dyDescent="0.25">
      <c r="A114">
        <v>113</v>
      </c>
      <c r="B114" t="s">
        <v>287</v>
      </c>
      <c r="C114">
        <v>5</v>
      </c>
      <c r="D114">
        <v>13</v>
      </c>
      <c r="E114">
        <v>99</v>
      </c>
      <c r="F114">
        <v>0</v>
      </c>
      <c r="G114" t="s">
        <v>112</v>
      </c>
      <c r="H114">
        <v>4</v>
      </c>
      <c r="I114" t="s">
        <v>112</v>
      </c>
      <c r="J114">
        <v>798</v>
      </c>
      <c r="K114">
        <v>2327</v>
      </c>
      <c r="L114">
        <v>1.5</v>
      </c>
      <c r="M114">
        <v>421</v>
      </c>
      <c r="N114">
        <v>1238</v>
      </c>
      <c r="O114">
        <v>1.5</v>
      </c>
      <c r="P114">
        <v>105</v>
      </c>
      <c r="Q114">
        <v>220</v>
      </c>
      <c r="R114">
        <v>1.5</v>
      </c>
      <c r="S114">
        <v>4000000</v>
      </c>
      <c r="T114" t="s">
        <v>121</v>
      </c>
      <c r="U114" t="s">
        <v>118</v>
      </c>
      <c r="V114" t="s">
        <v>288</v>
      </c>
      <c r="W114">
        <v>637.5</v>
      </c>
      <c r="X114" t="b">
        <v>0</v>
      </c>
    </row>
    <row r="115" spans="1:24" x14ac:dyDescent="0.25">
      <c r="A115">
        <v>114</v>
      </c>
      <c r="B115" t="s">
        <v>289</v>
      </c>
      <c r="C115">
        <v>4</v>
      </c>
      <c r="D115">
        <v>7</v>
      </c>
      <c r="E115">
        <v>35</v>
      </c>
      <c r="F115">
        <v>1</v>
      </c>
      <c r="G115" t="s">
        <v>112</v>
      </c>
      <c r="H115">
        <v>4</v>
      </c>
      <c r="I115" t="s">
        <v>112</v>
      </c>
      <c r="J115">
        <v>123</v>
      </c>
      <c r="K115">
        <v>1076</v>
      </c>
      <c r="L115">
        <v>1</v>
      </c>
      <c r="M115">
        <v>101</v>
      </c>
      <c r="N115">
        <v>462</v>
      </c>
      <c r="O115">
        <v>1</v>
      </c>
      <c r="P115">
        <v>20</v>
      </c>
      <c r="Q115">
        <v>117</v>
      </c>
      <c r="R115">
        <v>1</v>
      </c>
      <c r="S115">
        <v>1500000</v>
      </c>
      <c r="T115" t="s">
        <v>123</v>
      </c>
      <c r="U115" t="s">
        <v>290</v>
      </c>
      <c r="W115">
        <v>275</v>
      </c>
      <c r="X115" t="b">
        <v>0</v>
      </c>
    </row>
    <row r="116" spans="1:24" x14ac:dyDescent="0.25">
      <c r="A116">
        <v>115</v>
      </c>
      <c r="B116" t="s">
        <v>291</v>
      </c>
      <c r="C116">
        <v>5</v>
      </c>
      <c r="D116">
        <v>13</v>
      </c>
      <c r="E116">
        <v>99</v>
      </c>
      <c r="F116">
        <v>1</v>
      </c>
      <c r="G116" t="s">
        <v>112</v>
      </c>
      <c r="H116">
        <v>4</v>
      </c>
      <c r="I116" t="s">
        <v>112</v>
      </c>
      <c r="J116">
        <v>861</v>
      </c>
      <c r="K116">
        <v>2409</v>
      </c>
      <c r="L116">
        <v>1.5</v>
      </c>
      <c r="M116">
        <v>416</v>
      </c>
      <c r="N116">
        <v>1205</v>
      </c>
      <c r="O116">
        <v>1.5</v>
      </c>
      <c r="P116">
        <v>105</v>
      </c>
      <c r="Q116">
        <v>231</v>
      </c>
      <c r="R116">
        <v>1.5</v>
      </c>
      <c r="S116">
        <v>4000000</v>
      </c>
      <c r="T116" t="s">
        <v>129</v>
      </c>
      <c r="U116" t="s">
        <v>127</v>
      </c>
      <c r="V116" t="s">
        <v>292</v>
      </c>
      <c r="W116">
        <v>637.5</v>
      </c>
      <c r="X116" t="b">
        <v>0</v>
      </c>
    </row>
    <row r="117" spans="1:24" x14ac:dyDescent="0.25">
      <c r="A117">
        <v>116</v>
      </c>
      <c r="B117" t="s">
        <v>293</v>
      </c>
      <c r="C117">
        <v>4</v>
      </c>
      <c r="D117">
        <v>7</v>
      </c>
      <c r="E117">
        <v>35</v>
      </c>
      <c r="F117">
        <v>2</v>
      </c>
      <c r="G117" t="s">
        <v>112</v>
      </c>
      <c r="H117">
        <v>4</v>
      </c>
      <c r="I117" t="s">
        <v>112</v>
      </c>
      <c r="J117">
        <v>111</v>
      </c>
      <c r="K117">
        <v>971</v>
      </c>
      <c r="L117">
        <v>1</v>
      </c>
      <c r="M117">
        <v>119</v>
      </c>
      <c r="N117">
        <v>501</v>
      </c>
      <c r="O117">
        <v>1</v>
      </c>
      <c r="P117">
        <v>18</v>
      </c>
      <c r="Q117">
        <v>105</v>
      </c>
      <c r="R117">
        <v>1</v>
      </c>
      <c r="S117">
        <v>1500000</v>
      </c>
      <c r="T117" t="s">
        <v>131</v>
      </c>
      <c r="U117" t="s">
        <v>294</v>
      </c>
      <c r="W117">
        <v>275</v>
      </c>
      <c r="X117" t="b">
        <v>0</v>
      </c>
    </row>
    <row r="118" spans="1:24" x14ac:dyDescent="0.25">
      <c r="A118">
        <v>117</v>
      </c>
      <c r="B118" t="s">
        <v>85</v>
      </c>
      <c r="C118">
        <v>5</v>
      </c>
      <c r="D118">
        <v>13</v>
      </c>
      <c r="E118">
        <v>99</v>
      </c>
      <c r="F118">
        <v>2</v>
      </c>
      <c r="G118" t="s">
        <v>112</v>
      </c>
      <c r="H118">
        <v>4</v>
      </c>
      <c r="I118" t="s">
        <v>112</v>
      </c>
      <c r="J118">
        <v>777</v>
      </c>
      <c r="K118">
        <v>2360</v>
      </c>
      <c r="L118">
        <v>1.5</v>
      </c>
      <c r="M118">
        <v>451</v>
      </c>
      <c r="N118">
        <v>1262</v>
      </c>
      <c r="O118">
        <v>1.5</v>
      </c>
      <c r="P118">
        <v>95</v>
      </c>
      <c r="Q118">
        <v>231</v>
      </c>
      <c r="R118">
        <v>1.5</v>
      </c>
      <c r="S118">
        <v>4000000</v>
      </c>
      <c r="T118" t="s">
        <v>137</v>
      </c>
      <c r="U118" t="s">
        <v>135</v>
      </c>
      <c r="V118" t="s">
        <v>295</v>
      </c>
      <c r="W118">
        <v>637.5</v>
      </c>
      <c r="X118" t="b">
        <v>0</v>
      </c>
    </row>
    <row r="119" spans="1:24" x14ac:dyDescent="0.25">
      <c r="A119">
        <v>118</v>
      </c>
      <c r="B119" t="s">
        <v>296</v>
      </c>
      <c r="C119">
        <v>4</v>
      </c>
      <c r="D119">
        <v>7</v>
      </c>
      <c r="E119">
        <v>35</v>
      </c>
      <c r="F119">
        <v>3</v>
      </c>
      <c r="G119" t="s">
        <v>112</v>
      </c>
      <c r="H119">
        <v>4</v>
      </c>
      <c r="I119" t="s">
        <v>112</v>
      </c>
      <c r="J119">
        <v>108</v>
      </c>
      <c r="K119">
        <v>945</v>
      </c>
      <c r="L119">
        <v>1</v>
      </c>
      <c r="M119">
        <v>108</v>
      </c>
      <c r="N119">
        <v>473</v>
      </c>
      <c r="O119">
        <v>1</v>
      </c>
      <c r="P119">
        <v>23</v>
      </c>
      <c r="Q119">
        <v>134</v>
      </c>
      <c r="R119">
        <v>1</v>
      </c>
      <c r="S119">
        <v>1500000</v>
      </c>
      <c r="T119" t="s">
        <v>139</v>
      </c>
      <c r="U119" t="s">
        <v>297</v>
      </c>
      <c r="W119">
        <v>275</v>
      </c>
      <c r="X119" t="b">
        <v>0</v>
      </c>
    </row>
    <row r="120" spans="1:24" x14ac:dyDescent="0.25">
      <c r="A120">
        <v>119</v>
      </c>
      <c r="B120" t="s">
        <v>298</v>
      </c>
      <c r="C120">
        <v>5</v>
      </c>
      <c r="D120">
        <v>13</v>
      </c>
      <c r="E120">
        <v>99</v>
      </c>
      <c r="F120">
        <v>3</v>
      </c>
      <c r="G120" t="s">
        <v>112</v>
      </c>
      <c r="H120">
        <v>4</v>
      </c>
      <c r="I120">
        <v>5</v>
      </c>
      <c r="J120">
        <v>756</v>
      </c>
      <c r="K120">
        <v>2277</v>
      </c>
      <c r="L120">
        <v>1.5</v>
      </c>
      <c r="M120">
        <v>426</v>
      </c>
      <c r="N120">
        <v>1213</v>
      </c>
      <c r="O120">
        <v>1.5</v>
      </c>
      <c r="P120">
        <v>121</v>
      </c>
      <c r="Q120">
        <v>275</v>
      </c>
      <c r="R120">
        <v>1.5</v>
      </c>
      <c r="S120">
        <v>4000000</v>
      </c>
      <c r="T120" t="s">
        <v>145</v>
      </c>
      <c r="U120" t="s">
        <v>143</v>
      </c>
      <c r="V120" t="s">
        <v>299</v>
      </c>
      <c r="W120">
        <v>637.5</v>
      </c>
      <c r="X120" t="b">
        <v>0</v>
      </c>
    </row>
    <row r="121" spans="1:24" x14ac:dyDescent="0.25">
      <c r="A121">
        <v>120</v>
      </c>
      <c r="B121" t="s">
        <v>300</v>
      </c>
      <c r="C121">
        <v>4</v>
      </c>
      <c r="D121">
        <v>7</v>
      </c>
      <c r="E121">
        <v>35</v>
      </c>
      <c r="F121">
        <v>4</v>
      </c>
      <c r="G121" t="s">
        <v>112</v>
      </c>
      <c r="H121">
        <v>4</v>
      </c>
      <c r="I121" t="s">
        <v>112</v>
      </c>
      <c r="J121">
        <v>116</v>
      </c>
      <c r="K121">
        <v>1015</v>
      </c>
      <c r="L121">
        <v>1</v>
      </c>
      <c r="M121">
        <v>116</v>
      </c>
      <c r="N121">
        <v>508</v>
      </c>
      <c r="O121">
        <v>1</v>
      </c>
      <c r="P121">
        <v>14</v>
      </c>
      <c r="Q121">
        <v>82</v>
      </c>
      <c r="R121">
        <v>1</v>
      </c>
      <c r="S121">
        <v>1500000</v>
      </c>
      <c r="T121" t="s">
        <v>147</v>
      </c>
      <c r="U121" t="s">
        <v>301</v>
      </c>
      <c r="W121">
        <v>275</v>
      </c>
      <c r="X121" t="b">
        <v>0</v>
      </c>
    </row>
    <row r="122" spans="1:24" x14ac:dyDescent="0.25">
      <c r="A122">
        <v>121</v>
      </c>
      <c r="B122" t="s">
        <v>302</v>
      </c>
      <c r="C122">
        <v>5</v>
      </c>
      <c r="D122">
        <v>13</v>
      </c>
      <c r="E122">
        <v>99</v>
      </c>
      <c r="F122">
        <v>4</v>
      </c>
      <c r="G122" t="s">
        <v>112</v>
      </c>
      <c r="H122">
        <v>4</v>
      </c>
      <c r="I122" t="s">
        <v>112</v>
      </c>
      <c r="J122">
        <v>812</v>
      </c>
      <c r="K122">
        <v>2310</v>
      </c>
      <c r="L122">
        <v>1.5</v>
      </c>
      <c r="M122">
        <v>457</v>
      </c>
      <c r="N122">
        <v>1254</v>
      </c>
      <c r="O122">
        <v>1.5</v>
      </c>
      <c r="P122">
        <v>74</v>
      </c>
      <c r="Q122">
        <v>198</v>
      </c>
      <c r="R122">
        <v>1.5</v>
      </c>
      <c r="S122">
        <v>4000000</v>
      </c>
      <c r="T122" t="s">
        <v>153</v>
      </c>
      <c r="U122" t="s">
        <v>151</v>
      </c>
      <c r="V122" t="s">
        <v>303</v>
      </c>
      <c r="W122">
        <v>637.5</v>
      </c>
      <c r="X122" t="b">
        <v>0</v>
      </c>
    </row>
    <row r="123" spans="1:24" x14ac:dyDescent="0.25">
      <c r="A123">
        <v>122</v>
      </c>
      <c r="B123" t="s">
        <v>304</v>
      </c>
      <c r="C123">
        <v>5</v>
      </c>
      <c r="D123">
        <v>15</v>
      </c>
      <c r="E123">
        <v>50</v>
      </c>
      <c r="F123">
        <v>0</v>
      </c>
      <c r="G123" t="s">
        <v>112</v>
      </c>
      <c r="H123">
        <v>5</v>
      </c>
      <c r="I123" t="s">
        <v>112</v>
      </c>
      <c r="J123">
        <v>326</v>
      </c>
      <c r="K123">
        <v>1575</v>
      </c>
      <c r="L123">
        <v>1.5</v>
      </c>
      <c r="M123">
        <v>244</v>
      </c>
      <c r="N123">
        <v>900</v>
      </c>
      <c r="O123">
        <v>1.5</v>
      </c>
      <c r="P123">
        <v>53</v>
      </c>
      <c r="Q123">
        <v>192</v>
      </c>
      <c r="R123">
        <v>1.5</v>
      </c>
      <c r="S123">
        <v>4000000</v>
      </c>
      <c r="T123" t="s">
        <v>305</v>
      </c>
      <c r="U123" t="s">
        <v>306</v>
      </c>
      <c r="W123">
        <v>500</v>
      </c>
      <c r="X123" t="b">
        <v>0</v>
      </c>
    </row>
    <row r="124" spans="1:24" x14ac:dyDescent="0.25">
      <c r="A124">
        <v>123</v>
      </c>
      <c r="B124" t="s">
        <v>307</v>
      </c>
      <c r="C124">
        <v>6</v>
      </c>
      <c r="D124">
        <v>20</v>
      </c>
      <c r="E124">
        <v>99</v>
      </c>
      <c r="F124">
        <v>0</v>
      </c>
      <c r="G124" t="s">
        <v>112</v>
      </c>
      <c r="H124">
        <v>5</v>
      </c>
      <c r="I124" t="s">
        <v>112</v>
      </c>
      <c r="J124">
        <v>1260</v>
      </c>
      <c r="K124">
        <v>2869</v>
      </c>
      <c r="L124">
        <v>1.5</v>
      </c>
      <c r="M124">
        <v>810</v>
      </c>
      <c r="N124">
        <v>1359</v>
      </c>
      <c r="O124">
        <v>1.5</v>
      </c>
      <c r="P124">
        <v>173</v>
      </c>
      <c r="Q124">
        <v>418</v>
      </c>
      <c r="R124">
        <v>1.5</v>
      </c>
      <c r="S124">
        <v>4000000</v>
      </c>
      <c r="T124" t="s">
        <v>305</v>
      </c>
      <c r="U124" t="s">
        <v>308</v>
      </c>
      <c r="V124" t="s">
        <v>2152</v>
      </c>
      <c r="W124">
        <v>975</v>
      </c>
      <c r="X124" t="b">
        <v>0</v>
      </c>
    </row>
    <row r="125" spans="1:24" x14ac:dyDescent="0.25">
      <c r="A125">
        <v>124</v>
      </c>
      <c r="B125" t="s">
        <v>309</v>
      </c>
      <c r="C125">
        <v>5</v>
      </c>
      <c r="D125">
        <v>15</v>
      </c>
      <c r="E125">
        <v>50</v>
      </c>
      <c r="F125">
        <v>1</v>
      </c>
      <c r="G125" t="s">
        <v>112</v>
      </c>
      <c r="H125">
        <v>5</v>
      </c>
      <c r="I125" t="s">
        <v>112</v>
      </c>
      <c r="J125">
        <v>328</v>
      </c>
      <c r="K125">
        <v>1600</v>
      </c>
      <c r="L125">
        <v>1.5</v>
      </c>
      <c r="M125">
        <v>243</v>
      </c>
      <c r="N125">
        <v>894</v>
      </c>
      <c r="O125">
        <v>1.5</v>
      </c>
      <c r="P125">
        <v>52</v>
      </c>
      <c r="Q125">
        <v>183</v>
      </c>
      <c r="R125">
        <v>1.5</v>
      </c>
      <c r="S125">
        <v>4000000</v>
      </c>
      <c r="T125" t="s">
        <v>310</v>
      </c>
      <c r="U125" t="s">
        <v>311</v>
      </c>
      <c r="W125">
        <v>500</v>
      </c>
      <c r="X125" t="b">
        <v>0</v>
      </c>
    </row>
    <row r="126" spans="1:24" x14ac:dyDescent="0.25">
      <c r="A126">
        <v>125</v>
      </c>
      <c r="B126" t="s">
        <v>312</v>
      </c>
      <c r="C126">
        <v>6</v>
      </c>
      <c r="D126">
        <v>20</v>
      </c>
      <c r="E126">
        <v>99</v>
      </c>
      <c r="F126">
        <v>1</v>
      </c>
      <c r="G126" t="s">
        <v>112</v>
      </c>
      <c r="H126">
        <v>5</v>
      </c>
      <c r="I126" t="s">
        <v>112</v>
      </c>
      <c r="J126">
        <v>1280</v>
      </c>
      <c r="K126">
        <v>2902</v>
      </c>
      <c r="L126">
        <v>1.5</v>
      </c>
      <c r="M126">
        <v>805</v>
      </c>
      <c r="N126">
        <v>1351</v>
      </c>
      <c r="O126">
        <v>1.5</v>
      </c>
      <c r="P126">
        <v>165</v>
      </c>
      <c r="Q126">
        <v>407</v>
      </c>
      <c r="R126">
        <v>1.5</v>
      </c>
      <c r="S126">
        <v>4000000</v>
      </c>
      <c r="T126" t="s">
        <v>310</v>
      </c>
      <c r="U126" t="s">
        <v>313</v>
      </c>
      <c r="V126" t="s">
        <v>2153</v>
      </c>
      <c r="W126">
        <v>975</v>
      </c>
      <c r="X126" t="b">
        <v>0</v>
      </c>
    </row>
    <row r="127" spans="1:24" x14ac:dyDescent="0.25">
      <c r="A127">
        <v>126</v>
      </c>
      <c r="B127" t="s">
        <v>314</v>
      </c>
      <c r="C127">
        <v>5</v>
      </c>
      <c r="D127">
        <v>15</v>
      </c>
      <c r="E127">
        <v>50</v>
      </c>
      <c r="F127">
        <v>2</v>
      </c>
      <c r="G127" t="s">
        <v>112</v>
      </c>
      <c r="H127">
        <v>5</v>
      </c>
      <c r="I127" t="s">
        <v>112</v>
      </c>
      <c r="J127">
        <v>311</v>
      </c>
      <c r="K127">
        <v>1388</v>
      </c>
      <c r="L127">
        <v>1.5</v>
      </c>
      <c r="M127">
        <v>220</v>
      </c>
      <c r="N127">
        <v>750</v>
      </c>
      <c r="O127">
        <v>1.5</v>
      </c>
      <c r="P127">
        <v>68</v>
      </c>
      <c r="Q127">
        <v>317</v>
      </c>
      <c r="R127">
        <v>1.5</v>
      </c>
      <c r="S127">
        <v>4000000</v>
      </c>
      <c r="T127" t="s">
        <v>315</v>
      </c>
      <c r="U127" t="s">
        <v>316</v>
      </c>
      <c r="W127">
        <v>500</v>
      </c>
      <c r="X127" t="b">
        <v>0</v>
      </c>
    </row>
    <row r="128" spans="1:24" x14ac:dyDescent="0.25">
      <c r="A128">
        <v>127</v>
      </c>
      <c r="B128" t="s">
        <v>317</v>
      </c>
      <c r="C128">
        <v>6</v>
      </c>
      <c r="D128">
        <v>20</v>
      </c>
      <c r="E128">
        <v>99</v>
      </c>
      <c r="F128">
        <v>2</v>
      </c>
      <c r="G128" t="s">
        <v>112</v>
      </c>
      <c r="H128">
        <v>5</v>
      </c>
      <c r="I128" t="s">
        <v>112</v>
      </c>
      <c r="J128">
        <v>1110</v>
      </c>
      <c r="K128">
        <v>2374</v>
      </c>
      <c r="L128">
        <v>1.5</v>
      </c>
      <c r="M128">
        <v>675</v>
      </c>
      <c r="N128">
        <v>1061</v>
      </c>
      <c r="O128">
        <v>1.5</v>
      </c>
      <c r="P128">
        <v>285</v>
      </c>
      <c r="Q128">
        <v>681</v>
      </c>
      <c r="R128">
        <v>1.5</v>
      </c>
      <c r="S128">
        <v>4000000</v>
      </c>
      <c r="T128" t="s">
        <v>315</v>
      </c>
      <c r="U128" t="s">
        <v>316</v>
      </c>
      <c r="V128" t="s">
        <v>2154</v>
      </c>
      <c r="W128">
        <v>975</v>
      </c>
      <c r="X128" t="b">
        <v>0</v>
      </c>
    </row>
    <row r="129" spans="1:24" x14ac:dyDescent="0.25">
      <c r="A129">
        <v>128</v>
      </c>
      <c r="B129" t="s">
        <v>318</v>
      </c>
      <c r="C129">
        <v>5</v>
      </c>
      <c r="D129">
        <v>15</v>
      </c>
      <c r="E129">
        <v>50</v>
      </c>
      <c r="F129">
        <v>3</v>
      </c>
      <c r="G129" t="s">
        <v>112</v>
      </c>
      <c r="H129">
        <v>5</v>
      </c>
      <c r="I129" t="s">
        <v>112</v>
      </c>
      <c r="J129">
        <v>305</v>
      </c>
      <c r="K129">
        <v>1313</v>
      </c>
      <c r="L129">
        <v>1.5</v>
      </c>
      <c r="M129">
        <v>223</v>
      </c>
      <c r="N129">
        <v>769</v>
      </c>
      <c r="O129">
        <v>1.5</v>
      </c>
      <c r="P129">
        <v>71</v>
      </c>
      <c r="Q129">
        <v>342</v>
      </c>
      <c r="R129">
        <v>1.5</v>
      </c>
      <c r="S129">
        <v>4000000</v>
      </c>
      <c r="T129" t="s">
        <v>319</v>
      </c>
      <c r="U129" t="s">
        <v>320</v>
      </c>
      <c r="W129">
        <v>500</v>
      </c>
      <c r="X129" t="b">
        <v>0</v>
      </c>
    </row>
    <row r="130" spans="1:24" x14ac:dyDescent="0.25">
      <c r="A130">
        <v>129</v>
      </c>
      <c r="B130" t="s">
        <v>321</v>
      </c>
      <c r="C130">
        <v>6</v>
      </c>
      <c r="D130">
        <v>20</v>
      </c>
      <c r="E130">
        <v>99</v>
      </c>
      <c r="F130">
        <v>3</v>
      </c>
      <c r="G130" t="s">
        <v>112</v>
      </c>
      <c r="H130">
        <v>5</v>
      </c>
      <c r="I130" t="s">
        <v>112</v>
      </c>
      <c r="J130">
        <v>1050</v>
      </c>
      <c r="K130">
        <v>2275</v>
      </c>
      <c r="L130">
        <v>1.5</v>
      </c>
      <c r="M130">
        <v>692</v>
      </c>
      <c r="N130">
        <v>1086</v>
      </c>
      <c r="O130">
        <v>1.5</v>
      </c>
      <c r="P130">
        <v>308</v>
      </c>
      <c r="Q130">
        <v>625</v>
      </c>
      <c r="R130">
        <v>1.5</v>
      </c>
      <c r="S130">
        <v>4000000</v>
      </c>
      <c r="T130" t="s">
        <v>319</v>
      </c>
      <c r="U130" t="s">
        <v>322</v>
      </c>
      <c r="V130" t="s">
        <v>2155</v>
      </c>
      <c r="W130">
        <v>975</v>
      </c>
      <c r="X130" t="b">
        <v>0</v>
      </c>
    </row>
    <row r="131" spans="1:24" x14ac:dyDescent="0.25">
      <c r="A131">
        <v>130</v>
      </c>
      <c r="B131" t="s">
        <v>323</v>
      </c>
      <c r="C131">
        <v>5</v>
      </c>
      <c r="D131">
        <v>15</v>
      </c>
      <c r="E131">
        <v>50</v>
      </c>
      <c r="F131">
        <v>4</v>
      </c>
      <c r="G131" t="s">
        <v>112</v>
      </c>
      <c r="H131">
        <v>5</v>
      </c>
      <c r="I131" t="s">
        <v>112</v>
      </c>
      <c r="J131">
        <v>314</v>
      </c>
      <c r="K131">
        <v>1425</v>
      </c>
      <c r="L131">
        <v>1.5</v>
      </c>
      <c r="M131">
        <v>238</v>
      </c>
      <c r="N131">
        <v>863</v>
      </c>
      <c r="O131">
        <v>1.5</v>
      </c>
      <c r="P131">
        <v>51</v>
      </c>
      <c r="Q131">
        <v>175</v>
      </c>
      <c r="R131">
        <v>1.5</v>
      </c>
      <c r="S131">
        <v>4000000</v>
      </c>
      <c r="T131" t="s">
        <v>324</v>
      </c>
      <c r="U131" t="s">
        <v>325</v>
      </c>
      <c r="W131">
        <v>500</v>
      </c>
      <c r="X131" t="b">
        <v>0</v>
      </c>
    </row>
    <row r="132" spans="1:24" x14ac:dyDescent="0.25">
      <c r="A132">
        <v>131</v>
      </c>
      <c r="B132" t="s">
        <v>326</v>
      </c>
      <c r="C132">
        <v>6</v>
      </c>
      <c r="D132">
        <v>20</v>
      </c>
      <c r="E132">
        <v>99</v>
      </c>
      <c r="F132">
        <v>4</v>
      </c>
      <c r="G132" t="s">
        <v>112</v>
      </c>
      <c r="H132">
        <v>5</v>
      </c>
      <c r="I132" t="s">
        <v>112</v>
      </c>
      <c r="J132">
        <v>1140</v>
      </c>
      <c r="K132">
        <v>2671</v>
      </c>
      <c r="L132">
        <v>1.5</v>
      </c>
      <c r="M132">
        <v>777</v>
      </c>
      <c r="N132">
        <v>1410</v>
      </c>
      <c r="O132">
        <v>1.5</v>
      </c>
      <c r="P132">
        <v>158</v>
      </c>
      <c r="Q132">
        <v>396</v>
      </c>
      <c r="R132">
        <v>1.5</v>
      </c>
      <c r="S132">
        <v>4000000</v>
      </c>
      <c r="T132" t="s">
        <v>324</v>
      </c>
      <c r="U132" t="s">
        <v>327</v>
      </c>
      <c r="V132" t="s">
        <v>2156</v>
      </c>
      <c r="W132">
        <v>975</v>
      </c>
      <c r="X132" t="b">
        <v>0</v>
      </c>
    </row>
    <row r="133" spans="1:24" x14ac:dyDescent="0.25">
      <c r="A133">
        <v>132</v>
      </c>
      <c r="B133" t="s">
        <v>328</v>
      </c>
      <c r="C133">
        <v>5</v>
      </c>
      <c r="D133">
        <v>15</v>
      </c>
      <c r="E133">
        <v>50</v>
      </c>
      <c r="F133">
        <v>0</v>
      </c>
      <c r="G133" t="s">
        <v>112</v>
      </c>
      <c r="H133">
        <v>5</v>
      </c>
      <c r="I133" t="s">
        <v>112</v>
      </c>
      <c r="J133">
        <v>326</v>
      </c>
      <c r="K133">
        <v>1538</v>
      </c>
      <c r="L133">
        <v>1.5</v>
      </c>
      <c r="M133">
        <v>232</v>
      </c>
      <c r="N133">
        <v>825</v>
      </c>
      <c r="O133">
        <v>1.5</v>
      </c>
      <c r="P133">
        <v>56</v>
      </c>
      <c r="Q133">
        <v>217</v>
      </c>
      <c r="R133">
        <v>1.5</v>
      </c>
      <c r="S133">
        <v>4000000</v>
      </c>
      <c r="T133" t="s">
        <v>329</v>
      </c>
      <c r="U133" t="s">
        <v>306</v>
      </c>
      <c r="W133">
        <v>500</v>
      </c>
      <c r="X133" t="b">
        <v>0</v>
      </c>
    </row>
    <row r="134" spans="1:24" x14ac:dyDescent="0.25">
      <c r="A134">
        <v>133</v>
      </c>
      <c r="B134" t="s">
        <v>330</v>
      </c>
      <c r="C134">
        <v>6</v>
      </c>
      <c r="D134">
        <v>20</v>
      </c>
      <c r="E134">
        <v>99</v>
      </c>
      <c r="F134">
        <v>0</v>
      </c>
      <c r="G134" t="s">
        <v>112</v>
      </c>
      <c r="H134">
        <v>5</v>
      </c>
      <c r="I134" t="s">
        <v>112</v>
      </c>
      <c r="J134">
        <v>1230</v>
      </c>
      <c r="K134">
        <v>2820</v>
      </c>
      <c r="L134">
        <v>1.5</v>
      </c>
      <c r="M134">
        <v>743</v>
      </c>
      <c r="N134">
        <v>1360</v>
      </c>
      <c r="O134">
        <v>1.5</v>
      </c>
      <c r="P134">
        <v>195</v>
      </c>
      <c r="Q134">
        <v>451</v>
      </c>
      <c r="R134">
        <v>1.5</v>
      </c>
      <c r="S134">
        <v>4000000</v>
      </c>
      <c r="T134" t="s">
        <v>331</v>
      </c>
      <c r="U134" t="s">
        <v>332</v>
      </c>
      <c r="V134" t="s">
        <v>2157</v>
      </c>
      <c r="W134">
        <v>975</v>
      </c>
      <c r="X134" t="b">
        <v>0</v>
      </c>
    </row>
    <row r="135" spans="1:24" x14ac:dyDescent="0.25">
      <c r="A135">
        <v>134</v>
      </c>
      <c r="B135" t="s">
        <v>333</v>
      </c>
      <c r="C135">
        <v>5</v>
      </c>
      <c r="D135">
        <v>15</v>
      </c>
      <c r="E135">
        <v>50</v>
      </c>
      <c r="F135">
        <v>1</v>
      </c>
      <c r="G135" t="s">
        <v>112</v>
      </c>
      <c r="H135">
        <v>5</v>
      </c>
      <c r="I135" t="s">
        <v>112</v>
      </c>
      <c r="J135">
        <v>423</v>
      </c>
      <c r="K135">
        <v>1650</v>
      </c>
      <c r="L135">
        <v>1.5</v>
      </c>
      <c r="M135">
        <v>241</v>
      </c>
      <c r="N135">
        <v>881</v>
      </c>
      <c r="O135">
        <v>1.5</v>
      </c>
      <c r="P135">
        <v>50</v>
      </c>
      <c r="Q135">
        <v>167</v>
      </c>
      <c r="R135">
        <v>1.5</v>
      </c>
      <c r="S135">
        <v>4000000</v>
      </c>
      <c r="T135" t="s">
        <v>334</v>
      </c>
      <c r="U135" t="s">
        <v>335</v>
      </c>
      <c r="W135">
        <v>500</v>
      </c>
      <c r="X135" t="b">
        <v>0</v>
      </c>
    </row>
    <row r="136" spans="1:24" x14ac:dyDescent="0.25">
      <c r="A136">
        <v>135</v>
      </c>
      <c r="B136" t="s">
        <v>336</v>
      </c>
      <c r="C136">
        <v>6</v>
      </c>
      <c r="D136">
        <v>20</v>
      </c>
      <c r="E136">
        <v>99</v>
      </c>
      <c r="F136">
        <v>1</v>
      </c>
      <c r="G136" t="s">
        <v>112</v>
      </c>
      <c r="H136">
        <v>5</v>
      </c>
      <c r="I136" t="s">
        <v>112</v>
      </c>
      <c r="J136">
        <v>1320</v>
      </c>
      <c r="K136">
        <v>2690</v>
      </c>
      <c r="L136">
        <v>1.5</v>
      </c>
      <c r="M136">
        <v>793</v>
      </c>
      <c r="N136">
        <v>1150</v>
      </c>
      <c r="O136">
        <v>1.5</v>
      </c>
      <c r="P136">
        <v>150</v>
      </c>
      <c r="Q136">
        <v>222</v>
      </c>
      <c r="R136">
        <v>1.5</v>
      </c>
      <c r="S136">
        <v>4000000</v>
      </c>
      <c r="T136" t="s">
        <v>334</v>
      </c>
      <c r="U136" t="s">
        <v>335</v>
      </c>
      <c r="V136" t="s">
        <v>2158</v>
      </c>
      <c r="W136">
        <v>975</v>
      </c>
      <c r="X136" t="b">
        <v>0</v>
      </c>
    </row>
    <row r="137" spans="1:24" x14ac:dyDescent="0.25">
      <c r="A137">
        <v>136</v>
      </c>
      <c r="B137" t="s">
        <v>337</v>
      </c>
      <c r="C137">
        <v>5</v>
      </c>
      <c r="D137">
        <v>15</v>
      </c>
      <c r="E137">
        <v>50</v>
      </c>
      <c r="F137">
        <v>2</v>
      </c>
      <c r="G137" t="s">
        <v>112</v>
      </c>
      <c r="H137">
        <v>5</v>
      </c>
      <c r="I137" t="s">
        <v>112</v>
      </c>
      <c r="J137">
        <v>320</v>
      </c>
      <c r="K137">
        <v>1500</v>
      </c>
      <c r="L137">
        <v>1.5</v>
      </c>
      <c r="M137">
        <v>235</v>
      </c>
      <c r="N137">
        <v>844</v>
      </c>
      <c r="O137">
        <v>1.5</v>
      </c>
      <c r="P137">
        <v>47</v>
      </c>
      <c r="Q137">
        <v>142</v>
      </c>
      <c r="R137">
        <v>1.5</v>
      </c>
      <c r="S137">
        <v>4000000</v>
      </c>
      <c r="T137" t="s">
        <v>338</v>
      </c>
      <c r="U137" t="s">
        <v>339</v>
      </c>
      <c r="W137">
        <v>500</v>
      </c>
      <c r="X137" t="b">
        <v>0</v>
      </c>
    </row>
    <row r="138" spans="1:24" x14ac:dyDescent="0.25">
      <c r="A138">
        <v>137</v>
      </c>
      <c r="B138" t="s">
        <v>340</v>
      </c>
      <c r="C138">
        <v>6</v>
      </c>
      <c r="D138">
        <v>20</v>
      </c>
      <c r="E138">
        <v>99</v>
      </c>
      <c r="F138">
        <v>2</v>
      </c>
      <c r="G138" t="s">
        <v>112</v>
      </c>
      <c r="H138">
        <v>5</v>
      </c>
      <c r="I138" t="s">
        <v>112</v>
      </c>
      <c r="J138">
        <v>1200</v>
      </c>
      <c r="K138">
        <v>2770</v>
      </c>
      <c r="L138">
        <v>1.5</v>
      </c>
      <c r="M138">
        <v>760</v>
      </c>
      <c r="N138">
        <v>1186</v>
      </c>
      <c r="O138">
        <v>1.5</v>
      </c>
      <c r="P138">
        <v>128</v>
      </c>
      <c r="Q138">
        <v>298</v>
      </c>
      <c r="R138">
        <v>1.5</v>
      </c>
      <c r="S138">
        <v>4000000</v>
      </c>
      <c r="T138" t="s">
        <v>338</v>
      </c>
      <c r="U138" t="s">
        <v>339</v>
      </c>
      <c r="V138" t="s">
        <v>2159</v>
      </c>
      <c r="W138">
        <v>975</v>
      </c>
      <c r="X138" t="b">
        <v>0</v>
      </c>
    </row>
    <row r="139" spans="1:24" x14ac:dyDescent="0.25">
      <c r="A139">
        <v>138</v>
      </c>
      <c r="B139" t="s">
        <v>342</v>
      </c>
      <c r="C139">
        <v>5</v>
      </c>
      <c r="D139">
        <v>15</v>
      </c>
      <c r="E139">
        <v>50</v>
      </c>
      <c r="F139">
        <v>3</v>
      </c>
      <c r="G139" t="s">
        <v>112</v>
      </c>
      <c r="H139">
        <v>5</v>
      </c>
      <c r="I139" t="s">
        <v>112</v>
      </c>
      <c r="J139">
        <v>317</v>
      </c>
      <c r="K139">
        <v>1463</v>
      </c>
      <c r="L139">
        <v>1.5</v>
      </c>
      <c r="M139">
        <v>226</v>
      </c>
      <c r="N139">
        <v>788</v>
      </c>
      <c r="O139">
        <v>1.5</v>
      </c>
      <c r="P139">
        <v>64</v>
      </c>
      <c r="Q139">
        <v>283</v>
      </c>
      <c r="R139">
        <v>1.5</v>
      </c>
      <c r="S139">
        <v>4000000</v>
      </c>
      <c r="T139" t="s">
        <v>254</v>
      </c>
      <c r="U139" t="s">
        <v>316</v>
      </c>
      <c r="W139">
        <v>500</v>
      </c>
      <c r="X139" t="b">
        <v>0</v>
      </c>
    </row>
    <row r="140" spans="1:24" x14ac:dyDescent="0.25">
      <c r="A140">
        <v>139</v>
      </c>
      <c r="B140" t="s">
        <v>343</v>
      </c>
      <c r="C140">
        <v>6</v>
      </c>
      <c r="D140">
        <v>20</v>
      </c>
      <c r="E140">
        <v>99</v>
      </c>
      <c r="F140">
        <v>3</v>
      </c>
      <c r="G140" t="s">
        <v>112</v>
      </c>
      <c r="H140">
        <v>5</v>
      </c>
      <c r="I140" t="s">
        <v>112</v>
      </c>
      <c r="J140">
        <v>1170</v>
      </c>
      <c r="K140">
        <v>2321</v>
      </c>
      <c r="L140">
        <v>1.5</v>
      </c>
      <c r="M140">
        <v>709</v>
      </c>
      <c r="N140">
        <v>1111</v>
      </c>
      <c r="O140">
        <v>1.5</v>
      </c>
      <c r="P140">
        <v>255</v>
      </c>
      <c r="Q140">
        <v>652</v>
      </c>
      <c r="R140">
        <v>1.5</v>
      </c>
      <c r="S140">
        <v>4000000</v>
      </c>
      <c r="T140" t="s">
        <v>344</v>
      </c>
      <c r="U140" t="s">
        <v>316</v>
      </c>
      <c r="V140" t="s">
        <v>2160</v>
      </c>
      <c r="W140">
        <v>975</v>
      </c>
      <c r="X140" t="b">
        <v>0</v>
      </c>
    </row>
    <row r="141" spans="1:24" x14ac:dyDescent="0.25">
      <c r="A141">
        <v>140</v>
      </c>
      <c r="B141" t="s">
        <v>345</v>
      </c>
      <c r="C141">
        <v>5</v>
      </c>
      <c r="D141">
        <v>15</v>
      </c>
      <c r="E141">
        <v>50</v>
      </c>
      <c r="F141">
        <v>4</v>
      </c>
      <c r="G141" t="s">
        <v>112</v>
      </c>
      <c r="H141">
        <v>5</v>
      </c>
      <c r="I141" t="s">
        <v>112</v>
      </c>
      <c r="J141">
        <v>308</v>
      </c>
      <c r="K141">
        <v>1350</v>
      </c>
      <c r="L141">
        <v>1.5</v>
      </c>
      <c r="M141">
        <v>229</v>
      </c>
      <c r="N141">
        <v>806</v>
      </c>
      <c r="O141">
        <v>1.5</v>
      </c>
      <c r="P141">
        <v>53</v>
      </c>
      <c r="Q141">
        <v>192</v>
      </c>
      <c r="R141">
        <v>1.5</v>
      </c>
      <c r="S141">
        <v>4000000</v>
      </c>
      <c r="T141" t="s">
        <v>346</v>
      </c>
      <c r="U141" t="s">
        <v>322</v>
      </c>
      <c r="W141">
        <v>500</v>
      </c>
      <c r="X141" t="b">
        <v>0</v>
      </c>
    </row>
    <row r="142" spans="1:24" x14ac:dyDescent="0.25">
      <c r="A142">
        <v>141</v>
      </c>
      <c r="B142" t="s">
        <v>347</v>
      </c>
      <c r="C142">
        <v>6</v>
      </c>
      <c r="D142">
        <v>20</v>
      </c>
      <c r="E142">
        <v>99</v>
      </c>
      <c r="F142">
        <v>4</v>
      </c>
      <c r="G142" t="s">
        <v>112</v>
      </c>
      <c r="H142">
        <v>5</v>
      </c>
      <c r="I142" t="s">
        <v>112</v>
      </c>
      <c r="J142">
        <v>1080</v>
      </c>
      <c r="K142">
        <v>2772</v>
      </c>
      <c r="L142">
        <v>1.5</v>
      </c>
      <c r="M142">
        <v>725</v>
      </c>
      <c r="N142">
        <v>1336</v>
      </c>
      <c r="O142">
        <v>1.5</v>
      </c>
      <c r="P142">
        <v>173</v>
      </c>
      <c r="Q142">
        <v>495</v>
      </c>
      <c r="R142">
        <v>1.5</v>
      </c>
      <c r="S142">
        <v>4000000</v>
      </c>
      <c r="T142" t="s">
        <v>348</v>
      </c>
      <c r="U142" t="s">
        <v>322</v>
      </c>
      <c r="V142" t="s">
        <v>2161</v>
      </c>
      <c r="W142">
        <v>975</v>
      </c>
      <c r="X142" t="b">
        <v>0</v>
      </c>
    </row>
    <row r="143" spans="1:24" x14ac:dyDescent="0.25">
      <c r="A143">
        <v>142</v>
      </c>
      <c r="B143" t="s">
        <v>349</v>
      </c>
      <c r="C143">
        <v>6</v>
      </c>
      <c r="D143">
        <v>25</v>
      </c>
      <c r="E143">
        <v>99</v>
      </c>
      <c r="F143">
        <v>0</v>
      </c>
      <c r="G143" t="s">
        <v>112</v>
      </c>
      <c r="H143">
        <v>4</v>
      </c>
      <c r="I143" t="s">
        <v>112</v>
      </c>
      <c r="J143">
        <v>495</v>
      </c>
      <c r="K143">
        <v>3018</v>
      </c>
      <c r="L143">
        <v>1.5</v>
      </c>
      <c r="M143">
        <v>330</v>
      </c>
      <c r="N143">
        <v>1408</v>
      </c>
      <c r="O143">
        <v>1.5</v>
      </c>
      <c r="P143">
        <v>52</v>
      </c>
      <c r="Q143">
        <v>142</v>
      </c>
      <c r="R143">
        <v>1.5</v>
      </c>
      <c r="S143">
        <v>4000000</v>
      </c>
      <c r="T143" t="s">
        <v>305</v>
      </c>
      <c r="U143" t="s">
        <v>118</v>
      </c>
      <c r="V143" t="s">
        <v>350</v>
      </c>
      <c r="W143">
        <v>1162.5</v>
      </c>
      <c r="X143" t="b">
        <v>0</v>
      </c>
    </row>
    <row r="144" spans="1:24" x14ac:dyDescent="0.25">
      <c r="A144">
        <v>143</v>
      </c>
      <c r="B144" t="s">
        <v>351</v>
      </c>
      <c r="C144">
        <v>6</v>
      </c>
      <c r="D144">
        <v>25</v>
      </c>
      <c r="E144">
        <v>99</v>
      </c>
      <c r="F144">
        <v>1</v>
      </c>
      <c r="G144" t="s">
        <v>112</v>
      </c>
      <c r="H144">
        <v>4</v>
      </c>
      <c r="I144" t="s">
        <v>112</v>
      </c>
      <c r="J144">
        <v>510</v>
      </c>
      <c r="K144">
        <v>3165</v>
      </c>
      <c r="L144">
        <v>1.5</v>
      </c>
      <c r="M144">
        <v>322</v>
      </c>
      <c r="N144">
        <v>1332</v>
      </c>
      <c r="O144">
        <v>1.5</v>
      </c>
      <c r="P144">
        <v>53</v>
      </c>
      <c r="Q144">
        <v>153</v>
      </c>
      <c r="R144">
        <v>1.5</v>
      </c>
      <c r="S144">
        <v>4000000</v>
      </c>
      <c r="T144" t="s">
        <v>310</v>
      </c>
      <c r="U144" t="s">
        <v>127</v>
      </c>
      <c r="V144" t="s">
        <v>352</v>
      </c>
      <c r="W144">
        <v>1162.5</v>
      </c>
      <c r="X144" t="b">
        <v>0</v>
      </c>
    </row>
    <row r="145" spans="1:24" x14ac:dyDescent="0.25">
      <c r="A145">
        <v>144</v>
      </c>
      <c r="B145" t="s">
        <v>353</v>
      </c>
      <c r="C145">
        <v>6</v>
      </c>
      <c r="D145">
        <v>25</v>
      </c>
      <c r="E145">
        <v>99</v>
      </c>
      <c r="F145">
        <v>2</v>
      </c>
      <c r="G145" t="s">
        <v>112</v>
      </c>
      <c r="H145">
        <v>4</v>
      </c>
      <c r="I145" t="s">
        <v>112</v>
      </c>
      <c r="J145">
        <v>518</v>
      </c>
      <c r="K145">
        <v>3197</v>
      </c>
      <c r="L145">
        <v>1.5</v>
      </c>
      <c r="M145">
        <v>319</v>
      </c>
      <c r="N145">
        <v>1307</v>
      </c>
      <c r="O145">
        <v>1.5</v>
      </c>
      <c r="P145">
        <v>55</v>
      </c>
      <c r="Q145">
        <v>175</v>
      </c>
      <c r="R145">
        <v>1.5</v>
      </c>
      <c r="S145">
        <v>4000000</v>
      </c>
      <c r="T145" t="s">
        <v>315</v>
      </c>
      <c r="U145" t="s">
        <v>135</v>
      </c>
      <c r="V145" t="s">
        <v>354</v>
      </c>
      <c r="W145">
        <v>1162.5</v>
      </c>
      <c r="X145" t="b">
        <v>0</v>
      </c>
    </row>
    <row r="146" spans="1:24" x14ac:dyDescent="0.25">
      <c r="A146">
        <v>145</v>
      </c>
      <c r="B146" t="s">
        <v>355</v>
      </c>
      <c r="C146">
        <v>6</v>
      </c>
      <c r="D146">
        <v>25</v>
      </c>
      <c r="E146">
        <v>99</v>
      </c>
      <c r="F146">
        <v>3</v>
      </c>
      <c r="G146" t="s">
        <v>112</v>
      </c>
      <c r="H146">
        <v>4</v>
      </c>
      <c r="I146" t="s">
        <v>112</v>
      </c>
      <c r="J146">
        <v>503</v>
      </c>
      <c r="K146">
        <v>3050</v>
      </c>
      <c r="L146">
        <v>1.5</v>
      </c>
      <c r="M146">
        <v>325</v>
      </c>
      <c r="N146">
        <v>1356</v>
      </c>
      <c r="O146">
        <v>1.5</v>
      </c>
      <c r="P146">
        <v>54</v>
      </c>
      <c r="Q146">
        <v>164</v>
      </c>
      <c r="R146">
        <v>1.5</v>
      </c>
      <c r="S146">
        <v>4000000</v>
      </c>
      <c r="T146" t="s">
        <v>319</v>
      </c>
      <c r="U146" t="s">
        <v>143</v>
      </c>
      <c r="V146" t="s">
        <v>356</v>
      </c>
      <c r="W146">
        <v>1162.5</v>
      </c>
      <c r="X146" t="b">
        <v>0</v>
      </c>
    </row>
    <row r="147" spans="1:24" x14ac:dyDescent="0.25">
      <c r="A147">
        <v>146</v>
      </c>
      <c r="B147" t="s">
        <v>357</v>
      </c>
      <c r="C147">
        <v>6</v>
      </c>
      <c r="D147">
        <v>25</v>
      </c>
      <c r="E147">
        <v>99</v>
      </c>
      <c r="F147">
        <v>4</v>
      </c>
      <c r="G147" t="s">
        <v>112</v>
      </c>
      <c r="H147">
        <v>4</v>
      </c>
      <c r="I147" t="s">
        <v>112</v>
      </c>
      <c r="J147">
        <v>488</v>
      </c>
      <c r="K147">
        <v>3002</v>
      </c>
      <c r="L147">
        <v>1.5</v>
      </c>
      <c r="M147">
        <v>333</v>
      </c>
      <c r="N147">
        <v>1322</v>
      </c>
      <c r="O147">
        <v>1.5</v>
      </c>
      <c r="P147">
        <v>51</v>
      </c>
      <c r="Q147">
        <v>131</v>
      </c>
      <c r="R147">
        <v>1.5</v>
      </c>
      <c r="S147">
        <v>4000000</v>
      </c>
      <c r="T147" t="s">
        <v>324</v>
      </c>
      <c r="U147" t="s">
        <v>151</v>
      </c>
      <c r="V147" t="s">
        <v>358</v>
      </c>
      <c r="W147">
        <v>1162.5</v>
      </c>
      <c r="X147" t="b">
        <v>0</v>
      </c>
    </row>
    <row r="148" spans="1:24" x14ac:dyDescent="0.25">
      <c r="A148">
        <v>147</v>
      </c>
      <c r="B148" t="s">
        <v>359</v>
      </c>
      <c r="C148">
        <v>4</v>
      </c>
      <c r="D148">
        <v>11</v>
      </c>
      <c r="E148">
        <v>1</v>
      </c>
      <c r="F148">
        <v>0</v>
      </c>
      <c r="G148" t="s">
        <v>112</v>
      </c>
      <c r="H148">
        <v>0</v>
      </c>
      <c r="I148" t="s">
        <v>112</v>
      </c>
      <c r="J148">
        <v>1031</v>
      </c>
      <c r="K148">
        <v>1031</v>
      </c>
      <c r="L148">
        <v>1</v>
      </c>
      <c r="M148">
        <v>331</v>
      </c>
      <c r="N148">
        <v>331</v>
      </c>
      <c r="O148">
        <v>1</v>
      </c>
      <c r="P148">
        <v>83</v>
      </c>
      <c r="Q148">
        <v>83</v>
      </c>
      <c r="R148">
        <v>1</v>
      </c>
      <c r="S148">
        <v>1500000</v>
      </c>
      <c r="T148" t="s">
        <v>237</v>
      </c>
      <c r="U148" t="s">
        <v>238</v>
      </c>
      <c r="W148">
        <v>375</v>
      </c>
      <c r="X148" t="b">
        <v>0</v>
      </c>
    </row>
    <row r="149" spans="1:24" x14ac:dyDescent="0.25">
      <c r="A149">
        <v>148</v>
      </c>
      <c r="B149" t="s">
        <v>360</v>
      </c>
      <c r="C149">
        <v>4</v>
      </c>
      <c r="D149">
        <v>11</v>
      </c>
      <c r="E149">
        <v>1</v>
      </c>
      <c r="F149">
        <v>1</v>
      </c>
      <c r="G149" t="s">
        <v>112</v>
      </c>
      <c r="H149">
        <v>0</v>
      </c>
      <c r="I149" t="s">
        <v>112</v>
      </c>
      <c r="J149">
        <v>1056</v>
      </c>
      <c r="K149">
        <v>1056</v>
      </c>
      <c r="L149">
        <v>1</v>
      </c>
      <c r="M149">
        <v>321</v>
      </c>
      <c r="N149">
        <v>321</v>
      </c>
      <c r="O149">
        <v>1</v>
      </c>
      <c r="P149">
        <v>83</v>
      </c>
      <c r="Q149">
        <v>83</v>
      </c>
      <c r="R149">
        <v>1</v>
      </c>
      <c r="S149">
        <v>1500000</v>
      </c>
      <c r="T149" t="s">
        <v>237</v>
      </c>
      <c r="U149" t="s">
        <v>238</v>
      </c>
      <c r="W149">
        <v>375</v>
      </c>
      <c r="X149" t="b">
        <v>0</v>
      </c>
    </row>
    <row r="150" spans="1:24" x14ac:dyDescent="0.25">
      <c r="A150">
        <v>149</v>
      </c>
      <c r="B150" t="s">
        <v>361</v>
      </c>
      <c r="C150">
        <v>4</v>
      </c>
      <c r="D150">
        <v>11</v>
      </c>
      <c r="E150">
        <v>1</v>
      </c>
      <c r="F150">
        <v>2</v>
      </c>
      <c r="G150" t="s">
        <v>112</v>
      </c>
      <c r="H150">
        <v>0</v>
      </c>
      <c r="I150" t="s">
        <v>112</v>
      </c>
      <c r="J150">
        <v>1081</v>
      </c>
      <c r="K150">
        <v>1081</v>
      </c>
      <c r="L150">
        <v>1</v>
      </c>
      <c r="M150">
        <v>326</v>
      </c>
      <c r="N150">
        <v>326</v>
      </c>
      <c r="O150">
        <v>1</v>
      </c>
      <c r="P150">
        <v>83</v>
      </c>
      <c r="Q150">
        <v>83</v>
      </c>
      <c r="R150">
        <v>1</v>
      </c>
      <c r="S150">
        <v>1500000</v>
      </c>
      <c r="T150" t="s">
        <v>237</v>
      </c>
      <c r="U150" t="s">
        <v>238</v>
      </c>
      <c r="W150">
        <v>375</v>
      </c>
      <c r="X150" t="b">
        <v>0</v>
      </c>
    </row>
    <row r="151" spans="1:24" x14ac:dyDescent="0.25">
      <c r="A151">
        <v>150</v>
      </c>
      <c r="B151" t="s">
        <v>362</v>
      </c>
      <c r="C151">
        <v>4</v>
      </c>
      <c r="D151">
        <v>11</v>
      </c>
      <c r="E151">
        <v>1</v>
      </c>
      <c r="F151">
        <v>3</v>
      </c>
      <c r="G151" t="s">
        <v>112</v>
      </c>
      <c r="H151">
        <v>0</v>
      </c>
      <c r="I151" t="s">
        <v>112</v>
      </c>
      <c r="J151">
        <v>1106</v>
      </c>
      <c r="K151">
        <v>1106</v>
      </c>
      <c r="L151">
        <v>1</v>
      </c>
      <c r="M151">
        <v>311</v>
      </c>
      <c r="N151">
        <v>311</v>
      </c>
      <c r="O151">
        <v>1</v>
      </c>
      <c r="P151">
        <v>83</v>
      </c>
      <c r="Q151">
        <v>83</v>
      </c>
      <c r="R151">
        <v>1</v>
      </c>
      <c r="S151">
        <v>1500000</v>
      </c>
      <c r="T151" t="s">
        <v>237</v>
      </c>
      <c r="U151" t="s">
        <v>238</v>
      </c>
      <c r="W151">
        <v>375</v>
      </c>
      <c r="X151" t="b">
        <v>0</v>
      </c>
    </row>
    <row r="152" spans="1:24" x14ac:dyDescent="0.25">
      <c r="A152">
        <v>151</v>
      </c>
      <c r="B152" t="s">
        <v>363</v>
      </c>
      <c r="C152">
        <v>4</v>
      </c>
      <c r="D152">
        <v>11</v>
      </c>
      <c r="E152">
        <v>1</v>
      </c>
      <c r="F152">
        <v>4</v>
      </c>
      <c r="G152" t="s">
        <v>112</v>
      </c>
      <c r="H152">
        <v>0</v>
      </c>
      <c r="I152" t="s">
        <v>112</v>
      </c>
      <c r="J152">
        <v>1131</v>
      </c>
      <c r="K152">
        <v>1131</v>
      </c>
      <c r="L152">
        <v>1</v>
      </c>
      <c r="M152">
        <v>316</v>
      </c>
      <c r="N152">
        <v>316</v>
      </c>
      <c r="O152">
        <v>1</v>
      </c>
      <c r="P152">
        <v>83</v>
      </c>
      <c r="Q152">
        <v>83</v>
      </c>
      <c r="R152">
        <v>1</v>
      </c>
      <c r="S152">
        <v>1500000</v>
      </c>
      <c r="T152" t="s">
        <v>237</v>
      </c>
      <c r="U152" t="s">
        <v>238</v>
      </c>
      <c r="W152">
        <v>375</v>
      </c>
      <c r="X152" t="b">
        <v>0</v>
      </c>
    </row>
    <row r="153" spans="1:24" x14ac:dyDescent="0.25">
      <c r="A153">
        <v>152</v>
      </c>
      <c r="B153" t="s">
        <v>364</v>
      </c>
      <c r="C153">
        <v>2</v>
      </c>
      <c r="D153">
        <v>1</v>
      </c>
      <c r="E153">
        <v>1</v>
      </c>
      <c r="F153">
        <v>2</v>
      </c>
      <c r="G153" t="s">
        <v>112</v>
      </c>
      <c r="H153">
        <v>0</v>
      </c>
      <c r="I153" t="s">
        <v>112</v>
      </c>
      <c r="J153">
        <v>10</v>
      </c>
      <c r="K153">
        <v>10</v>
      </c>
      <c r="L153">
        <v>1</v>
      </c>
      <c r="M153">
        <v>10</v>
      </c>
      <c r="N153">
        <v>10</v>
      </c>
      <c r="O153">
        <v>1</v>
      </c>
      <c r="P153">
        <v>10</v>
      </c>
      <c r="Q153">
        <v>10</v>
      </c>
      <c r="R153">
        <v>1</v>
      </c>
      <c r="S153">
        <v>1500000</v>
      </c>
      <c r="T153" t="s">
        <v>112</v>
      </c>
      <c r="U153" t="s">
        <v>112</v>
      </c>
      <c r="W153">
        <v>75</v>
      </c>
      <c r="X153" t="b">
        <v>0</v>
      </c>
    </row>
    <row r="154" spans="1:24" x14ac:dyDescent="0.25">
      <c r="A154">
        <v>153</v>
      </c>
      <c r="B154" t="s">
        <v>365</v>
      </c>
      <c r="C154">
        <v>3</v>
      </c>
      <c r="D154">
        <v>1</v>
      </c>
      <c r="E154">
        <v>1</v>
      </c>
      <c r="F154">
        <v>2</v>
      </c>
      <c r="G154" t="s">
        <v>112</v>
      </c>
      <c r="H154">
        <v>0</v>
      </c>
      <c r="I154" t="s">
        <v>112</v>
      </c>
      <c r="J154">
        <v>50</v>
      </c>
      <c r="K154">
        <v>50</v>
      </c>
      <c r="L154">
        <v>1</v>
      </c>
      <c r="M154">
        <v>50</v>
      </c>
      <c r="N154">
        <v>50</v>
      </c>
      <c r="O154">
        <v>1</v>
      </c>
      <c r="P154">
        <v>50</v>
      </c>
      <c r="Q154">
        <v>50</v>
      </c>
      <c r="R154">
        <v>1</v>
      </c>
      <c r="S154">
        <v>1500000</v>
      </c>
      <c r="T154" t="s">
        <v>112</v>
      </c>
      <c r="U154" t="s">
        <v>112</v>
      </c>
      <c r="W154">
        <v>100</v>
      </c>
      <c r="X154" t="b">
        <v>0</v>
      </c>
    </row>
    <row r="155" spans="1:24" x14ac:dyDescent="0.25">
      <c r="A155">
        <v>154</v>
      </c>
      <c r="B155" t="s">
        <v>366</v>
      </c>
      <c r="C155">
        <v>4</v>
      </c>
      <c r="D155">
        <v>1</v>
      </c>
      <c r="E155">
        <v>1</v>
      </c>
      <c r="F155">
        <v>2</v>
      </c>
      <c r="G155" t="s">
        <v>112</v>
      </c>
      <c r="H155">
        <v>0</v>
      </c>
      <c r="I155" t="s">
        <v>112</v>
      </c>
      <c r="J155">
        <v>100</v>
      </c>
      <c r="K155">
        <v>100</v>
      </c>
      <c r="L155">
        <v>1</v>
      </c>
      <c r="M155">
        <v>100</v>
      </c>
      <c r="N155">
        <v>100</v>
      </c>
      <c r="O155">
        <v>1</v>
      </c>
      <c r="P155">
        <v>100</v>
      </c>
      <c r="Q155">
        <v>100</v>
      </c>
      <c r="R155">
        <v>1</v>
      </c>
      <c r="S155">
        <v>1500000</v>
      </c>
      <c r="T155" t="s">
        <v>112</v>
      </c>
      <c r="U155" t="s">
        <v>112</v>
      </c>
      <c r="W155">
        <v>125</v>
      </c>
      <c r="X155" t="b">
        <v>0</v>
      </c>
    </row>
    <row r="156" spans="1:24" x14ac:dyDescent="0.25">
      <c r="A156">
        <v>155</v>
      </c>
      <c r="B156" t="s">
        <v>367</v>
      </c>
      <c r="C156">
        <v>2</v>
      </c>
      <c r="D156">
        <v>1</v>
      </c>
      <c r="E156">
        <v>1</v>
      </c>
      <c r="F156">
        <v>0</v>
      </c>
      <c r="G156" t="s">
        <v>112</v>
      </c>
      <c r="H156">
        <v>0</v>
      </c>
      <c r="I156" t="s">
        <v>112</v>
      </c>
      <c r="J156">
        <v>10</v>
      </c>
      <c r="K156">
        <v>10</v>
      </c>
      <c r="L156">
        <v>1</v>
      </c>
      <c r="M156">
        <v>5</v>
      </c>
      <c r="N156">
        <v>5</v>
      </c>
      <c r="O156">
        <v>1</v>
      </c>
      <c r="P156">
        <v>80</v>
      </c>
      <c r="Q156">
        <v>80</v>
      </c>
      <c r="R156">
        <v>1</v>
      </c>
      <c r="S156">
        <v>1500000</v>
      </c>
      <c r="T156" t="s">
        <v>112</v>
      </c>
      <c r="U156" t="s">
        <v>112</v>
      </c>
      <c r="W156">
        <v>75</v>
      </c>
      <c r="X156" t="b">
        <v>0</v>
      </c>
    </row>
    <row r="157" spans="1:24" x14ac:dyDescent="0.25">
      <c r="A157">
        <v>156</v>
      </c>
      <c r="B157" t="s">
        <v>368</v>
      </c>
      <c r="C157">
        <v>2</v>
      </c>
      <c r="D157">
        <v>1</v>
      </c>
      <c r="E157">
        <v>1</v>
      </c>
      <c r="F157">
        <v>1</v>
      </c>
      <c r="G157" t="s">
        <v>112</v>
      </c>
      <c r="H157">
        <v>0</v>
      </c>
      <c r="I157" t="s">
        <v>112</v>
      </c>
      <c r="J157">
        <v>10</v>
      </c>
      <c r="K157">
        <v>10</v>
      </c>
      <c r="L157">
        <v>1</v>
      </c>
      <c r="M157">
        <v>5</v>
      </c>
      <c r="N157">
        <v>5</v>
      </c>
      <c r="O157">
        <v>1</v>
      </c>
      <c r="P157">
        <v>80</v>
      </c>
      <c r="Q157">
        <v>80</v>
      </c>
      <c r="R157">
        <v>1</v>
      </c>
      <c r="S157">
        <v>1500000</v>
      </c>
      <c r="T157" t="s">
        <v>112</v>
      </c>
      <c r="U157" t="s">
        <v>112</v>
      </c>
      <c r="W157">
        <v>75</v>
      </c>
      <c r="X157" t="b">
        <v>0</v>
      </c>
    </row>
    <row r="158" spans="1:24" x14ac:dyDescent="0.25">
      <c r="A158">
        <v>157</v>
      </c>
      <c r="B158" t="s">
        <v>369</v>
      </c>
      <c r="C158">
        <v>2</v>
      </c>
      <c r="D158">
        <v>1</v>
      </c>
      <c r="E158">
        <v>1</v>
      </c>
      <c r="F158">
        <v>2</v>
      </c>
      <c r="G158" t="s">
        <v>112</v>
      </c>
      <c r="H158">
        <v>0</v>
      </c>
      <c r="I158" t="s">
        <v>112</v>
      </c>
      <c r="J158">
        <v>10</v>
      </c>
      <c r="K158">
        <v>10</v>
      </c>
      <c r="L158">
        <v>1</v>
      </c>
      <c r="M158">
        <v>5</v>
      </c>
      <c r="N158">
        <v>5</v>
      </c>
      <c r="O158">
        <v>1</v>
      </c>
      <c r="P158">
        <v>80</v>
      </c>
      <c r="Q158">
        <v>80</v>
      </c>
      <c r="R158">
        <v>1</v>
      </c>
      <c r="S158">
        <v>1500000</v>
      </c>
      <c r="T158" t="s">
        <v>112</v>
      </c>
      <c r="U158" t="s">
        <v>112</v>
      </c>
      <c r="W158">
        <v>75</v>
      </c>
      <c r="X158" t="b">
        <v>0</v>
      </c>
    </row>
    <row r="159" spans="1:24" x14ac:dyDescent="0.25">
      <c r="A159">
        <v>158</v>
      </c>
      <c r="B159" t="s">
        <v>370</v>
      </c>
      <c r="C159">
        <v>2</v>
      </c>
      <c r="D159">
        <v>1</v>
      </c>
      <c r="E159">
        <v>1</v>
      </c>
      <c r="F159">
        <v>3</v>
      </c>
      <c r="G159" t="s">
        <v>112</v>
      </c>
      <c r="H159">
        <v>0</v>
      </c>
      <c r="I159" t="s">
        <v>112</v>
      </c>
      <c r="J159">
        <v>10</v>
      </c>
      <c r="K159">
        <v>10</v>
      </c>
      <c r="L159">
        <v>1</v>
      </c>
      <c r="M159">
        <v>5</v>
      </c>
      <c r="N159">
        <v>5</v>
      </c>
      <c r="O159">
        <v>1</v>
      </c>
      <c r="P159">
        <v>80</v>
      </c>
      <c r="Q159">
        <v>80</v>
      </c>
      <c r="R159">
        <v>1</v>
      </c>
      <c r="S159">
        <v>1500000</v>
      </c>
      <c r="T159" t="s">
        <v>112</v>
      </c>
      <c r="U159" t="s">
        <v>112</v>
      </c>
      <c r="W159">
        <v>75</v>
      </c>
      <c r="X159" t="b">
        <v>0</v>
      </c>
    </row>
    <row r="160" spans="1:24" x14ac:dyDescent="0.25">
      <c r="A160">
        <v>159</v>
      </c>
      <c r="B160" t="s">
        <v>371</v>
      </c>
      <c r="C160">
        <v>2</v>
      </c>
      <c r="D160">
        <v>1</v>
      </c>
      <c r="E160">
        <v>1</v>
      </c>
      <c r="F160">
        <v>4</v>
      </c>
      <c r="G160" t="s">
        <v>112</v>
      </c>
      <c r="H160">
        <v>0</v>
      </c>
      <c r="I160" t="s">
        <v>112</v>
      </c>
      <c r="J160">
        <v>10</v>
      </c>
      <c r="K160">
        <v>10</v>
      </c>
      <c r="L160">
        <v>1</v>
      </c>
      <c r="M160">
        <v>5</v>
      </c>
      <c r="N160">
        <v>5</v>
      </c>
      <c r="O160">
        <v>1</v>
      </c>
      <c r="P160">
        <v>80</v>
      </c>
      <c r="Q160">
        <v>80</v>
      </c>
      <c r="R160">
        <v>1</v>
      </c>
      <c r="S160">
        <v>1500000</v>
      </c>
      <c r="T160" t="s">
        <v>112</v>
      </c>
      <c r="U160" t="s">
        <v>112</v>
      </c>
      <c r="W160">
        <v>75</v>
      </c>
      <c r="X160" t="b">
        <v>0</v>
      </c>
    </row>
    <row r="161" spans="1:24" x14ac:dyDescent="0.25">
      <c r="A161">
        <v>160</v>
      </c>
      <c r="B161" t="s">
        <v>372</v>
      </c>
      <c r="C161">
        <v>5</v>
      </c>
      <c r="D161">
        <v>1</v>
      </c>
      <c r="E161">
        <v>1</v>
      </c>
      <c r="F161">
        <v>4</v>
      </c>
      <c r="G161" t="s">
        <v>112</v>
      </c>
      <c r="H161">
        <v>0</v>
      </c>
      <c r="I161" t="s">
        <v>112</v>
      </c>
      <c r="J161">
        <v>80</v>
      </c>
      <c r="K161">
        <v>80</v>
      </c>
      <c r="L161">
        <v>1</v>
      </c>
      <c r="M161">
        <v>40</v>
      </c>
      <c r="N161">
        <v>40</v>
      </c>
      <c r="O161">
        <v>1</v>
      </c>
      <c r="P161">
        <v>200</v>
      </c>
      <c r="Q161">
        <v>200</v>
      </c>
      <c r="R161">
        <v>1</v>
      </c>
      <c r="S161">
        <v>1500000</v>
      </c>
      <c r="T161" t="s">
        <v>112</v>
      </c>
      <c r="U161" t="s">
        <v>112</v>
      </c>
      <c r="W161">
        <v>5000</v>
      </c>
      <c r="X161" t="b">
        <v>0</v>
      </c>
    </row>
    <row r="162" spans="1:24" x14ac:dyDescent="0.25">
      <c r="A162">
        <v>161</v>
      </c>
      <c r="B162" t="s">
        <v>373</v>
      </c>
      <c r="C162">
        <v>1</v>
      </c>
      <c r="D162">
        <v>1</v>
      </c>
      <c r="E162">
        <v>1</v>
      </c>
      <c r="F162">
        <v>0</v>
      </c>
      <c r="G162" t="s">
        <v>112</v>
      </c>
      <c r="H162">
        <v>0</v>
      </c>
      <c r="I162" t="s">
        <v>112</v>
      </c>
      <c r="J162">
        <v>10</v>
      </c>
      <c r="K162">
        <v>10</v>
      </c>
      <c r="L162">
        <v>1</v>
      </c>
      <c r="M162">
        <v>50</v>
      </c>
      <c r="N162">
        <v>50</v>
      </c>
      <c r="O162">
        <v>1</v>
      </c>
      <c r="P162">
        <v>1</v>
      </c>
      <c r="Q162">
        <v>1</v>
      </c>
      <c r="R162">
        <v>1</v>
      </c>
      <c r="S162">
        <v>1500000</v>
      </c>
      <c r="T162" t="s">
        <v>112</v>
      </c>
      <c r="U162" t="s">
        <v>112</v>
      </c>
      <c r="W162">
        <v>50</v>
      </c>
      <c r="X162" t="b">
        <v>0</v>
      </c>
    </row>
    <row r="163" spans="1:24" x14ac:dyDescent="0.25">
      <c r="A163">
        <v>162</v>
      </c>
      <c r="B163" t="s">
        <v>374</v>
      </c>
      <c r="C163">
        <v>1</v>
      </c>
      <c r="D163">
        <v>1</v>
      </c>
      <c r="E163">
        <v>1</v>
      </c>
      <c r="F163">
        <v>1</v>
      </c>
      <c r="G163" t="s">
        <v>112</v>
      </c>
      <c r="H163">
        <v>0</v>
      </c>
      <c r="I163" t="s">
        <v>112</v>
      </c>
      <c r="J163">
        <v>10</v>
      </c>
      <c r="K163">
        <v>10</v>
      </c>
      <c r="L163">
        <v>1</v>
      </c>
      <c r="M163">
        <v>50</v>
      </c>
      <c r="N163">
        <v>50</v>
      </c>
      <c r="O163">
        <v>1</v>
      </c>
      <c r="P163">
        <v>1</v>
      </c>
      <c r="Q163">
        <v>1</v>
      </c>
      <c r="R163">
        <v>1</v>
      </c>
      <c r="S163">
        <v>1500000</v>
      </c>
      <c r="T163" t="s">
        <v>112</v>
      </c>
      <c r="U163" t="s">
        <v>112</v>
      </c>
      <c r="W163">
        <v>50</v>
      </c>
      <c r="X163" t="b">
        <v>0</v>
      </c>
    </row>
    <row r="164" spans="1:24" x14ac:dyDescent="0.25">
      <c r="A164">
        <v>163</v>
      </c>
      <c r="B164" t="s">
        <v>375</v>
      </c>
      <c r="C164">
        <v>1</v>
      </c>
      <c r="D164">
        <v>1</v>
      </c>
      <c r="E164">
        <v>1</v>
      </c>
      <c r="F164">
        <v>2</v>
      </c>
      <c r="G164" t="s">
        <v>112</v>
      </c>
      <c r="H164">
        <v>0</v>
      </c>
      <c r="I164" t="s">
        <v>112</v>
      </c>
      <c r="J164">
        <v>10</v>
      </c>
      <c r="K164">
        <v>10</v>
      </c>
      <c r="L164">
        <v>1</v>
      </c>
      <c r="M164">
        <v>50</v>
      </c>
      <c r="N164">
        <v>50</v>
      </c>
      <c r="O164">
        <v>1</v>
      </c>
      <c r="P164">
        <v>1</v>
      </c>
      <c r="Q164">
        <v>1</v>
      </c>
      <c r="R164">
        <v>1</v>
      </c>
      <c r="S164">
        <v>1500000</v>
      </c>
      <c r="T164" t="s">
        <v>112</v>
      </c>
      <c r="U164" t="s">
        <v>112</v>
      </c>
      <c r="W164">
        <v>50</v>
      </c>
      <c r="X164" t="b">
        <v>0</v>
      </c>
    </row>
    <row r="165" spans="1:24" x14ac:dyDescent="0.25">
      <c r="A165">
        <v>164</v>
      </c>
      <c r="B165" t="s">
        <v>376</v>
      </c>
      <c r="C165">
        <v>1</v>
      </c>
      <c r="D165">
        <v>1</v>
      </c>
      <c r="E165">
        <v>1</v>
      </c>
      <c r="F165">
        <v>3</v>
      </c>
      <c r="G165" t="s">
        <v>112</v>
      </c>
      <c r="H165">
        <v>0</v>
      </c>
      <c r="I165" t="s">
        <v>112</v>
      </c>
      <c r="J165">
        <v>10</v>
      </c>
      <c r="K165">
        <v>10</v>
      </c>
      <c r="L165">
        <v>1</v>
      </c>
      <c r="M165">
        <v>50</v>
      </c>
      <c r="N165">
        <v>50</v>
      </c>
      <c r="O165">
        <v>1</v>
      </c>
      <c r="P165">
        <v>1</v>
      </c>
      <c r="Q165">
        <v>1</v>
      </c>
      <c r="R165">
        <v>1</v>
      </c>
      <c r="S165">
        <v>1500000</v>
      </c>
      <c r="T165" t="s">
        <v>112</v>
      </c>
      <c r="U165" t="s">
        <v>112</v>
      </c>
      <c r="W165">
        <v>50</v>
      </c>
      <c r="X165" t="b">
        <v>0</v>
      </c>
    </row>
    <row r="166" spans="1:24" x14ac:dyDescent="0.25">
      <c r="A166">
        <v>165</v>
      </c>
      <c r="B166" t="s">
        <v>377</v>
      </c>
      <c r="C166">
        <v>1</v>
      </c>
      <c r="D166">
        <v>1</v>
      </c>
      <c r="E166">
        <v>1</v>
      </c>
      <c r="F166">
        <v>4</v>
      </c>
      <c r="G166" t="s">
        <v>112</v>
      </c>
      <c r="H166">
        <v>0</v>
      </c>
      <c r="I166" t="s">
        <v>112</v>
      </c>
      <c r="J166">
        <v>10</v>
      </c>
      <c r="K166">
        <v>10</v>
      </c>
      <c r="L166">
        <v>1</v>
      </c>
      <c r="M166">
        <v>50</v>
      </c>
      <c r="N166">
        <v>50</v>
      </c>
      <c r="O166">
        <v>1</v>
      </c>
      <c r="P166">
        <v>1</v>
      </c>
      <c r="Q166">
        <v>1</v>
      </c>
      <c r="R166">
        <v>1</v>
      </c>
      <c r="S166">
        <v>1500000</v>
      </c>
      <c r="T166" t="s">
        <v>112</v>
      </c>
      <c r="U166" t="s">
        <v>112</v>
      </c>
      <c r="W166">
        <v>50</v>
      </c>
      <c r="X166" t="b">
        <v>0</v>
      </c>
    </row>
    <row r="167" spans="1:24" x14ac:dyDescent="0.25">
      <c r="A167">
        <v>166</v>
      </c>
      <c r="B167" t="s">
        <v>378</v>
      </c>
      <c r="C167">
        <v>3</v>
      </c>
      <c r="D167">
        <v>1</v>
      </c>
      <c r="E167">
        <v>1</v>
      </c>
      <c r="F167">
        <v>0</v>
      </c>
      <c r="G167" t="s">
        <v>112</v>
      </c>
      <c r="H167">
        <v>0</v>
      </c>
      <c r="I167" t="s">
        <v>112</v>
      </c>
      <c r="J167">
        <v>20</v>
      </c>
      <c r="K167">
        <v>20</v>
      </c>
      <c r="L167">
        <v>1</v>
      </c>
      <c r="M167">
        <v>100</v>
      </c>
      <c r="N167">
        <v>100</v>
      </c>
      <c r="O167">
        <v>1</v>
      </c>
      <c r="P167">
        <v>1</v>
      </c>
      <c r="Q167">
        <v>1</v>
      </c>
      <c r="R167">
        <v>1</v>
      </c>
      <c r="S167">
        <v>1500000</v>
      </c>
      <c r="T167" t="s">
        <v>112</v>
      </c>
      <c r="U167" t="s">
        <v>112</v>
      </c>
      <c r="W167">
        <v>100</v>
      </c>
      <c r="X167" t="b">
        <v>0</v>
      </c>
    </row>
    <row r="168" spans="1:24" x14ac:dyDescent="0.25">
      <c r="A168">
        <v>167</v>
      </c>
      <c r="B168" t="s">
        <v>379</v>
      </c>
      <c r="C168">
        <v>3</v>
      </c>
      <c r="D168">
        <v>1</v>
      </c>
      <c r="E168">
        <v>1</v>
      </c>
      <c r="F168">
        <v>1</v>
      </c>
      <c r="G168" t="s">
        <v>112</v>
      </c>
      <c r="H168">
        <v>0</v>
      </c>
      <c r="I168" t="s">
        <v>112</v>
      </c>
      <c r="J168">
        <v>20</v>
      </c>
      <c r="K168">
        <v>20</v>
      </c>
      <c r="L168">
        <v>1</v>
      </c>
      <c r="M168">
        <v>100</v>
      </c>
      <c r="N168">
        <v>100</v>
      </c>
      <c r="O168">
        <v>1</v>
      </c>
      <c r="P168">
        <v>1</v>
      </c>
      <c r="Q168">
        <v>1</v>
      </c>
      <c r="R168">
        <v>1</v>
      </c>
      <c r="S168">
        <v>1500000</v>
      </c>
      <c r="T168" t="s">
        <v>112</v>
      </c>
      <c r="U168" t="s">
        <v>112</v>
      </c>
      <c r="W168">
        <v>100</v>
      </c>
      <c r="X168" t="b">
        <v>0</v>
      </c>
    </row>
    <row r="169" spans="1:24" x14ac:dyDescent="0.25">
      <c r="A169">
        <v>168</v>
      </c>
      <c r="B169" t="s">
        <v>380</v>
      </c>
      <c r="C169">
        <v>3</v>
      </c>
      <c r="D169">
        <v>1</v>
      </c>
      <c r="E169">
        <v>1</v>
      </c>
      <c r="F169">
        <v>2</v>
      </c>
      <c r="G169" t="s">
        <v>112</v>
      </c>
      <c r="H169">
        <v>0</v>
      </c>
      <c r="I169" t="s">
        <v>112</v>
      </c>
      <c r="J169">
        <v>20</v>
      </c>
      <c r="K169">
        <v>20</v>
      </c>
      <c r="L169">
        <v>1</v>
      </c>
      <c r="M169">
        <v>100</v>
      </c>
      <c r="N169">
        <v>100</v>
      </c>
      <c r="O169">
        <v>1</v>
      </c>
      <c r="P169">
        <v>1</v>
      </c>
      <c r="Q169">
        <v>1</v>
      </c>
      <c r="R169">
        <v>1</v>
      </c>
      <c r="S169">
        <v>1500000</v>
      </c>
      <c r="T169" t="s">
        <v>112</v>
      </c>
      <c r="U169" t="s">
        <v>112</v>
      </c>
      <c r="W169">
        <v>100</v>
      </c>
      <c r="X169" t="b">
        <v>0</v>
      </c>
    </row>
    <row r="170" spans="1:24" x14ac:dyDescent="0.25">
      <c r="A170">
        <v>169</v>
      </c>
      <c r="B170" t="s">
        <v>381</v>
      </c>
      <c r="C170">
        <v>3</v>
      </c>
      <c r="D170">
        <v>1</v>
      </c>
      <c r="E170">
        <v>1</v>
      </c>
      <c r="F170">
        <v>3</v>
      </c>
      <c r="G170" t="s">
        <v>112</v>
      </c>
      <c r="H170">
        <v>0</v>
      </c>
      <c r="I170" t="s">
        <v>112</v>
      </c>
      <c r="J170">
        <v>20</v>
      </c>
      <c r="K170">
        <v>20</v>
      </c>
      <c r="L170">
        <v>1</v>
      </c>
      <c r="M170">
        <v>100</v>
      </c>
      <c r="N170">
        <v>100</v>
      </c>
      <c r="O170">
        <v>1</v>
      </c>
      <c r="P170">
        <v>1</v>
      </c>
      <c r="Q170">
        <v>1</v>
      </c>
      <c r="R170">
        <v>1</v>
      </c>
      <c r="S170">
        <v>1500000</v>
      </c>
      <c r="T170" t="s">
        <v>112</v>
      </c>
      <c r="U170" t="s">
        <v>112</v>
      </c>
      <c r="W170">
        <v>100</v>
      </c>
      <c r="X170" t="b">
        <v>0</v>
      </c>
    </row>
    <row r="171" spans="1:24" x14ac:dyDescent="0.25">
      <c r="A171">
        <v>170</v>
      </c>
      <c r="B171" t="s">
        <v>382</v>
      </c>
      <c r="C171">
        <v>3</v>
      </c>
      <c r="D171">
        <v>1</v>
      </c>
      <c r="E171">
        <v>1</v>
      </c>
      <c r="F171">
        <v>4</v>
      </c>
      <c r="G171" t="s">
        <v>112</v>
      </c>
      <c r="H171">
        <v>0</v>
      </c>
      <c r="I171" t="s">
        <v>112</v>
      </c>
      <c r="J171">
        <v>20</v>
      </c>
      <c r="K171">
        <v>20</v>
      </c>
      <c r="L171">
        <v>1</v>
      </c>
      <c r="M171">
        <v>100</v>
      </c>
      <c r="N171">
        <v>100</v>
      </c>
      <c r="O171">
        <v>1</v>
      </c>
      <c r="P171">
        <v>1</v>
      </c>
      <c r="Q171">
        <v>1</v>
      </c>
      <c r="R171">
        <v>1</v>
      </c>
      <c r="S171">
        <v>1500000</v>
      </c>
      <c r="T171" t="s">
        <v>112</v>
      </c>
      <c r="U171" t="s">
        <v>112</v>
      </c>
      <c r="W171">
        <v>100</v>
      </c>
      <c r="X171" t="b">
        <v>0</v>
      </c>
    </row>
    <row r="172" spans="1:24" x14ac:dyDescent="0.25">
      <c r="A172">
        <v>171</v>
      </c>
      <c r="B172" t="s">
        <v>383</v>
      </c>
      <c r="C172">
        <v>5</v>
      </c>
      <c r="D172">
        <v>1</v>
      </c>
      <c r="E172">
        <v>1</v>
      </c>
      <c r="F172">
        <v>0</v>
      </c>
      <c r="G172" t="s">
        <v>112</v>
      </c>
      <c r="H172">
        <v>0</v>
      </c>
      <c r="I172" t="s">
        <v>112</v>
      </c>
      <c r="J172">
        <v>40</v>
      </c>
      <c r="K172">
        <v>40</v>
      </c>
      <c r="L172">
        <v>1</v>
      </c>
      <c r="M172">
        <v>200</v>
      </c>
      <c r="N172">
        <v>200</v>
      </c>
      <c r="O172">
        <v>1</v>
      </c>
      <c r="P172">
        <v>1</v>
      </c>
      <c r="Q172">
        <v>1</v>
      </c>
      <c r="R172">
        <v>1</v>
      </c>
      <c r="S172">
        <v>1500000</v>
      </c>
      <c r="T172" t="s">
        <v>112</v>
      </c>
      <c r="U172" t="s">
        <v>112</v>
      </c>
      <c r="W172">
        <v>2000</v>
      </c>
      <c r="X172" t="b">
        <v>0</v>
      </c>
    </row>
    <row r="173" spans="1:24" x14ac:dyDescent="0.25">
      <c r="A173">
        <v>172</v>
      </c>
      <c r="B173" t="s">
        <v>384</v>
      </c>
      <c r="C173">
        <v>5</v>
      </c>
      <c r="D173">
        <v>1</v>
      </c>
      <c r="E173">
        <v>1</v>
      </c>
      <c r="F173">
        <v>1</v>
      </c>
      <c r="G173" t="s">
        <v>112</v>
      </c>
      <c r="H173">
        <v>0</v>
      </c>
      <c r="I173" t="s">
        <v>112</v>
      </c>
      <c r="J173">
        <v>40</v>
      </c>
      <c r="K173">
        <v>40</v>
      </c>
      <c r="L173">
        <v>1</v>
      </c>
      <c r="M173">
        <v>200</v>
      </c>
      <c r="N173">
        <v>200</v>
      </c>
      <c r="O173">
        <v>1</v>
      </c>
      <c r="P173">
        <v>1</v>
      </c>
      <c r="Q173">
        <v>1</v>
      </c>
      <c r="R173">
        <v>1</v>
      </c>
      <c r="S173">
        <v>1500000</v>
      </c>
      <c r="T173" t="s">
        <v>112</v>
      </c>
      <c r="U173" t="s">
        <v>112</v>
      </c>
      <c r="W173">
        <v>2000</v>
      </c>
      <c r="X173" t="b">
        <v>0</v>
      </c>
    </row>
    <row r="174" spans="1:24" x14ac:dyDescent="0.25">
      <c r="A174">
        <v>173</v>
      </c>
      <c r="B174" t="s">
        <v>385</v>
      </c>
      <c r="C174">
        <v>5</v>
      </c>
      <c r="D174">
        <v>1</v>
      </c>
      <c r="E174">
        <v>1</v>
      </c>
      <c r="F174">
        <v>2</v>
      </c>
      <c r="G174" t="s">
        <v>112</v>
      </c>
      <c r="H174">
        <v>0</v>
      </c>
      <c r="I174" t="s">
        <v>112</v>
      </c>
      <c r="J174">
        <v>40</v>
      </c>
      <c r="K174">
        <v>40</v>
      </c>
      <c r="L174">
        <v>1</v>
      </c>
      <c r="M174">
        <v>200</v>
      </c>
      <c r="N174">
        <v>200</v>
      </c>
      <c r="O174">
        <v>1</v>
      </c>
      <c r="P174">
        <v>1</v>
      </c>
      <c r="Q174">
        <v>1</v>
      </c>
      <c r="R174">
        <v>1</v>
      </c>
      <c r="S174">
        <v>1500000</v>
      </c>
      <c r="T174" t="s">
        <v>112</v>
      </c>
      <c r="U174" t="s">
        <v>112</v>
      </c>
      <c r="W174">
        <v>2000</v>
      </c>
      <c r="X174" t="b">
        <v>0</v>
      </c>
    </row>
    <row r="175" spans="1:24" x14ac:dyDescent="0.25">
      <c r="A175">
        <v>174</v>
      </c>
      <c r="B175" t="s">
        <v>386</v>
      </c>
      <c r="C175">
        <v>5</v>
      </c>
      <c r="D175">
        <v>1</v>
      </c>
      <c r="E175">
        <v>1</v>
      </c>
      <c r="F175">
        <v>3</v>
      </c>
      <c r="G175" t="s">
        <v>112</v>
      </c>
      <c r="H175">
        <v>0</v>
      </c>
      <c r="I175" t="s">
        <v>112</v>
      </c>
      <c r="J175">
        <v>40</v>
      </c>
      <c r="K175">
        <v>40</v>
      </c>
      <c r="L175">
        <v>1</v>
      </c>
      <c r="M175">
        <v>200</v>
      </c>
      <c r="N175">
        <v>200</v>
      </c>
      <c r="O175">
        <v>1</v>
      </c>
      <c r="P175">
        <v>1</v>
      </c>
      <c r="Q175">
        <v>1</v>
      </c>
      <c r="R175">
        <v>1</v>
      </c>
      <c r="S175">
        <v>1500000</v>
      </c>
      <c r="T175" t="s">
        <v>112</v>
      </c>
      <c r="U175" t="s">
        <v>112</v>
      </c>
      <c r="W175">
        <v>2000</v>
      </c>
      <c r="X175" t="b">
        <v>0</v>
      </c>
    </row>
    <row r="176" spans="1:24" x14ac:dyDescent="0.25">
      <c r="A176">
        <v>175</v>
      </c>
      <c r="B176" t="s">
        <v>387</v>
      </c>
      <c r="C176">
        <v>5</v>
      </c>
      <c r="D176">
        <v>1</v>
      </c>
      <c r="E176">
        <v>1</v>
      </c>
      <c r="F176">
        <v>4</v>
      </c>
      <c r="G176" t="s">
        <v>112</v>
      </c>
      <c r="H176">
        <v>0</v>
      </c>
      <c r="I176" t="s">
        <v>112</v>
      </c>
      <c r="J176">
        <v>40</v>
      </c>
      <c r="K176">
        <v>40</v>
      </c>
      <c r="L176">
        <v>1</v>
      </c>
      <c r="M176">
        <v>200</v>
      </c>
      <c r="N176">
        <v>200</v>
      </c>
      <c r="O176">
        <v>1</v>
      </c>
      <c r="P176">
        <v>1</v>
      </c>
      <c r="Q176">
        <v>1</v>
      </c>
      <c r="R176">
        <v>1</v>
      </c>
      <c r="S176">
        <v>1500000</v>
      </c>
      <c r="T176" t="s">
        <v>112</v>
      </c>
      <c r="U176" t="s">
        <v>112</v>
      </c>
      <c r="W176">
        <v>2000</v>
      </c>
      <c r="X176" t="b">
        <v>0</v>
      </c>
    </row>
    <row r="177" spans="1:24" x14ac:dyDescent="0.25">
      <c r="A177">
        <v>176</v>
      </c>
      <c r="B177" t="s">
        <v>388</v>
      </c>
      <c r="C177">
        <v>3</v>
      </c>
      <c r="D177">
        <v>1</v>
      </c>
      <c r="E177">
        <v>1</v>
      </c>
      <c r="F177">
        <v>4</v>
      </c>
      <c r="G177" t="s">
        <v>112</v>
      </c>
      <c r="H177">
        <v>14</v>
      </c>
      <c r="I177" t="s">
        <v>112</v>
      </c>
      <c r="J177">
        <v>100</v>
      </c>
      <c r="K177">
        <v>100</v>
      </c>
      <c r="L177">
        <v>1</v>
      </c>
      <c r="M177">
        <v>20</v>
      </c>
      <c r="N177">
        <v>20</v>
      </c>
      <c r="O177">
        <v>1</v>
      </c>
      <c r="P177">
        <v>5</v>
      </c>
      <c r="Q177">
        <v>5</v>
      </c>
      <c r="R177">
        <v>1</v>
      </c>
      <c r="S177">
        <v>1500000</v>
      </c>
      <c r="T177" t="s">
        <v>112</v>
      </c>
      <c r="U177" t="s">
        <v>112</v>
      </c>
      <c r="W177">
        <v>1000</v>
      </c>
      <c r="X177" t="b">
        <v>0</v>
      </c>
    </row>
    <row r="178" spans="1:24" x14ac:dyDescent="0.25">
      <c r="A178">
        <v>177</v>
      </c>
      <c r="B178" t="s">
        <v>389</v>
      </c>
      <c r="C178">
        <v>4</v>
      </c>
      <c r="D178">
        <v>1</v>
      </c>
      <c r="E178">
        <v>1</v>
      </c>
      <c r="F178">
        <v>4</v>
      </c>
      <c r="G178" t="s">
        <v>112</v>
      </c>
      <c r="H178">
        <v>14</v>
      </c>
      <c r="I178" t="s">
        <v>112</v>
      </c>
      <c r="J178">
        <v>250</v>
      </c>
      <c r="K178">
        <v>250</v>
      </c>
      <c r="L178">
        <v>1</v>
      </c>
      <c r="M178">
        <v>30</v>
      </c>
      <c r="N178">
        <v>30</v>
      </c>
      <c r="O178">
        <v>1</v>
      </c>
      <c r="P178">
        <v>10</v>
      </c>
      <c r="Q178">
        <v>10</v>
      </c>
      <c r="R178">
        <v>1</v>
      </c>
      <c r="S178">
        <v>1500000</v>
      </c>
      <c r="T178" t="s">
        <v>112</v>
      </c>
      <c r="U178" t="s">
        <v>112</v>
      </c>
      <c r="W178">
        <v>10000</v>
      </c>
      <c r="X178" t="b">
        <v>0</v>
      </c>
    </row>
    <row r="179" spans="1:24" x14ac:dyDescent="0.25">
      <c r="A179">
        <v>178</v>
      </c>
      <c r="B179" t="s">
        <v>390</v>
      </c>
      <c r="C179">
        <v>5</v>
      </c>
      <c r="D179">
        <v>1</v>
      </c>
      <c r="E179">
        <v>1</v>
      </c>
      <c r="F179">
        <v>4</v>
      </c>
      <c r="G179" t="s">
        <v>112</v>
      </c>
      <c r="H179">
        <v>14</v>
      </c>
      <c r="I179" t="s">
        <v>112</v>
      </c>
      <c r="J179">
        <v>500</v>
      </c>
      <c r="K179">
        <v>500</v>
      </c>
      <c r="L179">
        <v>1</v>
      </c>
      <c r="M179">
        <v>40</v>
      </c>
      <c r="N179">
        <v>40</v>
      </c>
      <c r="O179">
        <v>1</v>
      </c>
      <c r="P179">
        <v>15</v>
      </c>
      <c r="Q179">
        <v>15</v>
      </c>
      <c r="R179">
        <v>1</v>
      </c>
      <c r="S179">
        <v>1500000</v>
      </c>
      <c r="T179" t="s">
        <v>112</v>
      </c>
      <c r="U179" t="s">
        <v>112</v>
      </c>
      <c r="W179">
        <v>50000</v>
      </c>
      <c r="X179" t="b">
        <v>0</v>
      </c>
    </row>
    <row r="180" spans="1:24" x14ac:dyDescent="0.25">
      <c r="A180">
        <v>179</v>
      </c>
      <c r="B180" t="s">
        <v>391</v>
      </c>
      <c r="C180">
        <v>3</v>
      </c>
      <c r="D180">
        <v>1</v>
      </c>
      <c r="E180">
        <v>1</v>
      </c>
      <c r="F180">
        <v>3</v>
      </c>
      <c r="G180" t="s">
        <v>112</v>
      </c>
      <c r="H180">
        <v>14</v>
      </c>
      <c r="I180" t="s">
        <v>112</v>
      </c>
      <c r="J180">
        <v>100</v>
      </c>
      <c r="K180">
        <v>100</v>
      </c>
      <c r="L180">
        <v>1</v>
      </c>
      <c r="M180">
        <v>20</v>
      </c>
      <c r="N180">
        <v>20</v>
      </c>
      <c r="O180">
        <v>1</v>
      </c>
      <c r="P180">
        <v>5</v>
      </c>
      <c r="Q180">
        <v>5</v>
      </c>
      <c r="R180">
        <v>1</v>
      </c>
      <c r="S180">
        <v>1500000</v>
      </c>
      <c r="T180" t="s">
        <v>112</v>
      </c>
      <c r="U180" t="s">
        <v>112</v>
      </c>
      <c r="W180">
        <v>1000</v>
      </c>
      <c r="X180" t="b">
        <v>0</v>
      </c>
    </row>
    <row r="181" spans="1:24" x14ac:dyDescent="0.25">
      <c r="A181">
        <v>180</v>
      </c>
      <c r="B181" t="s">
        <v>392</v>
      </c>
      <c r="C181">
        <v>4</v>
      </c>
      <c r="D181">
        <v>1</v>
      </c>
      <c r="E181">
        <v>1</v>
      </c>
      <c r="F181">
        <v>3</v>
      </c>
      <c r="G181" t="s">
        <v>112</v>
      </c>
      <c r="H181">
        <v>14</v>
      </c>
      <c r="I181" t="s">
        <v>112</v>
      </c>
      <c r="J181">
        <v>250</v>
      </c>
      <c r="K181">
        <v>250</v>
      </c>
      <c r="L181">
        <v>1</v>
      </c>
      <c r="M181">
        <v>30</v>
      </c>
      <c r="N181">
        <v>30</v>
      </c>
      <c r="O181">
        <v>1</v>
      </c>
      <c r="P181">
        <v>10</v>
      </c>
      <c r="Q181">
        <v>10</v>
      </c>
      <c r="R181">
        <v>1</v>
      </c>
      <c r="S181">
        <v>1500000</v>
      </c>
      <c r="T181" t="s">
        <v>112</v>
      </c>
      <c r="U181" t="s">
        <v>112</v>
      </c>
      <c r="W181">
        <v>10000</v>
      </c>
      <c r="X181" t="b">
        <v>0</v>
      </c>
    </row>
    <row r="182" spans="1:24" x14ac:dyDescent="0.25">
      <c r="A182">
        <v>181</v>
      </c>
      <c r="B182" t="s">
        <v>393</v>
      </c>
      <c r="C182">
        <v>5</v>
      </c>
      <c r="D182">
        <v>1</v>
      </c>
      <c r="E182">
        <v>1</v>
      </c>
      <c r="F182">
        <v>3</v>
      </c>
      <c r="G182" t="s">
        <v>112</v>
      </c>
      <c r="H182">
        <v>14</v>
      </c>
      <c r="I182" t="s">
        <v>112</v>
      </c>
      <c r="J182">
        <v>500</v>
      </c>
      <c r="K182">
        <v>500</v>
      </c>
      <c r="L182">
        <v>1</v>
      </c>
      <c r="M182">
        <v>40</v>
      </c>
      <c r="N182">
        <v>40</v>
      </c>
      <c r="O182">
        <v>1</v>
      </c>
      <c r="P182">
        <v>15</v>
      </c>
      <c r="Q182">
        <v>15</v>
      </c>
      <c r="R182">
        <v>1</v>
      </c>
      <c r="S182">
        <v>1500000</v>
      </c>
      <c r="T182" t="s">
        <v>112</v>
      </c>
      <c r="U182" t="s">
        <v>112</v>
      </c>
      <c r="W182">
        <v>50000</v>
      </c>
      <c r="X182" t="b">
        <v>0</v>
      </c>
    </row>
    <row r="183" spans="1:24" x14ac:dyDescent="0.25">
      <c r="A183">
        <v>182</v>
      </c>
      <c r="B183" t="s">
        <v>394</v>
      </c>
      <c r="C183">
        <v>3</v>
      </c>
      <c r="D183">
        <v>10</v>
      </c>
      <c r="E183">
        <v>1</v>
      </c>
      <c r="F183">
        <v>0</v>
      </c>
      <c r="G183" t="s">
        <v>112</v>
      </c>
      <c r="H183">
        <v>14</v>
      </c>
      <c r="I183" t="s">
        <v>112</v>
      </c>
      <c r="J183">
        <v>777</v>
      </c>
      <c r="K183">
        <v>777</v>
      </c>
      <c r="L183">
        <v>1</v>
      </c>
      <c r="M183">
        <v>405</v>
      </c>
      <c r="N183">
        <v>405</v>
      </c>
      <c r="O183">
        <v>1</v>
      </c>
      <c r="P183">
        <v>210</v>
      </c>
      <c r="Q183">
        <v>210</v>
      </c>
      <c r="R183">
        <v>1</v>
      </c>
      <c r="S183">
        <v>1500000</v>
      </c>
      <c r="T183" t="s">
        <v>305</v>
      </c>
      <c r="U183" t="s">
        <v>245</v>
      </c>
      <c r="W183">
        <v>10000</v>
      </c>
      <c r="X183" t="b">
        <v>0</v>
      </c>
    </row>
    <row r="184" spans="1:24" x14ac:dyDescent="0.25">
      <c r="A184">
        <v>183</v>
      </c>
      <c r="B184" t="s">
        <v>395</v>
      </c>
      <c r="C184">
        <v>3</v>
      </c>
      <c r="D184">
        <v>10</v>
      </c>
      <c r="E184">
        <v>1</v>
      </c>
      <c r="F184">
        <v>1</v>
      </c>
      <c r="G184" t="s">
        <v>112</v>
      </c>
      <c r="H184">
        <v>14</v>
      </c>
      <c r="I184" t="s">
        <v>112</v>
      </c>
      <c r="J184">
        <v>756</v>
      </c>
      <c r="K184">
        <v>756</v>
      </c>
      <c r="L184">
        <v>1</v>
      </c>
      <c r="M184">
        <v>412</v>
      </c>
      <c r="N184">
        <v>412</v>
      </c>
      <c r="O184">
        <v>1</v>
      </c>
      <c r="P184">
        <v>207</v>
      </c>
      <c r="Q184">
        <v>207</v>
      </c>
      <c r="R184">
        <v>1</v>
      </c>
      <c r="S184">
        <v>1500000</v>
      </c>
      <c r="T184" t="s">
        <v>310</v>
      </c>
      <c r="U184" t="s">
        <v>396</v>
      </c>
      <c r="W184">
        <v>10000</v>
      </c>
      <c r="X184" t="b">
        <v>0</v>
      </c>
    </row>
    <row r="185" spans="1:24" x14ac:dyDescent="0.25">
      <c r="A185">
        <v>184</v>
      </c>
      <c r="B185" t="s">
        <v>397</v>
      </c>
      <c r="C185">
        <v>3</v>
      </c>
      <c r="D185">
        <v>10</v>
      </c>
      <c r="E185">
        <v>1</v>
      </c>
      <c r="F185">
        <v>2</v>
      </c>
      <c r="G185" t="s">
        <v>112</v>
      </c>
      <c r="H185">
        <v>14</v>
      </c>
      <c r="I185" t="s">
        <v>112</v>
      </c>
      <c r="J185">
        <v>744</v>
      </c>
      <c r="K185">
        <v>744</v>
      </c>
      <c r="L185">
        <v>1</v>
      </c>
      <c r="M185">
        <v>419</v>
      </c>
      <c r="N185">
        <v>419</v>
      </c>
      <c r="O185">
        <v>1</v>
      </c>
      <c r="P185">
        <v>205</v>
      </c>
      <c r="Q185">
        <v>205</v>
      </c>
      <c r="R185">
        <v>1</v>
      </c>
      <c r="S185">
        <v>1500000</v>
      </c>
      <c r="T185" t="s">
        <v>315</v>
      </c>
      <c r="U185" t="s">
        <v>398</v>
      </c>
      <c r="W185">
        <v>10000</v>
      </c>
      <c r="X185" t="b">
        <v>0</v>
      </c>
    </row>
    <row r="186" spans="1:24" x14ac:dyDescent="0.25">
      <c r="A186">
        <v>185</v>
      </c>
      <c r="B186" t="s">
        <v>399</v>
      </c>
      <c r="C186">
        <v>3</v>
      </c>
      <c r="D186">
        <v>10</v>
      </c>
      <c r="E186">
        <v>1</v>
      </c>
      <c r="F186">
        <v>3</v>
      </c>
      <c r="G186" t="s">
        <v>112</v>
      </c>
      <c r="H186">
        <v>14</v>
      </c>
      <c r="I186" t="s">
        <v>112</v>
      </c>
      <c r="J186">
        <v>732</v>
      </c>
      <c r="K186">
        <v>732</v>
      </c>
      <c r="L186">
        <v>1</v>
      </c>
      <c r="M186">
        <v>408</v>
      </c>
      <c r="N186">
        <v>408</v>
      </c>
      <c r="O186">
        <v>1</v>
      </c>
      <c r="P186">
        <v>201</v>
      </c>
      <c r="Q186">
        <v>201</v>
      </c>
      <c r="R186">
        <v>1</v>
      </c>
      <c r="S186">
        <v>1500000</v>
      </c>
      <c r="T186" t="s">
        <v>319</v>
      </c>
      <c r="U186" t="s">
        <v>400</v>
      </c>
      <c r="W186">
        <v>10000</v>
      </c>
      <c r="X186" t="b">
        <v>0</v>
      </c>
    </row>
    <row r="187" spans="1:24" x14ac:dyDescent="0.25">
      <c r="A187">
        <v>186</v>
      </c>
      <c r="B187" t="s">
        <v>401</v>
      </c>
      <c r="C187">
        <v>3</v>
      </c>
      <c r="D187">
        <v>10</v>
      </c>
      <c r="E187">
        <v>1</v>
      </c>
      <c r="F187">
        <v>4</v>
      </c>
      <c r="G187" t="s">
        <v>112</v>
      </c>
      <c r="H187">
        <v>14</v>
      </c>
      <c r="I187" t="s">
        <v>112</v>
      </c>
      <c r="J187">
        <v>722</v>
      </c>
      <c r="K187">
        <v>722</v>
      </c>
      <c r="L187">
        <v>1</v>
      </c>
      <c r="M187">
        <v>411</v>
      </c>
      <c r="N187">
        <v>411</v>
      </c>
      <c r="O187">
        <v>1</v>
      </c>
      <c r="P187">
        <v>203</v>
      </c>
      <c r="Q187">
        <v>203</v>
      </c>
      <c r="R187">
        <v>1</v>
      </c>
      <c r="S187">
        <v>1500000</v>
      </c>
      <c r="T187" t="s">
        <v>324</v>
      </c>
      <c r="U187" t="s">
        <v>264</v>
      </c>
      <c r="W187">
        <v>10000</v>
      </c>
      <c r="X187" t="b">
        <v>0</v>
      </c>
    </row>
    <row r="188" spans="1:24" x14ac:dyDescent="0.25">
      <c r="A188">
        <v>187</v>
      </c>
      <c r="B188" t="s">
        <v>402</v>
      </c>
      <c r="C188">
        <v>6</v>
      </c>
      <c r="D188">
        <v>40</v>
      </c>
      <c r="E188">
        <v>50</v>
      </c>
      <c r="F188">
        <v>3</v>
      </c>
      <c r="G188" t="s">
        <v>112</v>
      </c>
      <c r="H188">
        <v>5</v>
      </c>
      <c r="I188" t="s">
        <v>112</v>
      </c>
      <c r="J188">
        <v>358</v>
      </c>
      <c r="K188">
        <v>1975</v>
      </c>
      <c r="L188">
        <v>1.5</v>
      </c>
      <c r="M188">
        <v>243</v>
      </c>
      <c r="N188">
        <v>894</v>
      </c>
      <c r="O188">
        <v>1.5</v>
      </c>
      <c r="P188">
        <v>62</v>
      </c>
      <c r="Q188">
        <v>217</v>
      </c>
      <c r="R188">
        <v>1.5</v>
      </c>
      <c r="S188">
        <v>4000000</v>
      </c>
      <c r="T188" t="s">
        <v>403</v>
      </c>
      <c r="U188" t="s">
        <v>404</v>
      </c>
      <c r="W188">
        <v>1150</v>
      </c>
      <c r="X188" t="b">
        <v>0</v>
      </c>
    </row>
    <row r="189" spans="1:24" x14ac:dyDescent="0.25">
      <c r="A189">
        <v>188</v>
      </c>
      <c r="B189" t="s">
        <v>405</v>
      </c>
      <c r="C189">
        <v>7</v>
      </c>
      <c r="D189">
        <v>50</v>
      </c>
      <c r="E189">
        <v>99</v>
      </c>
      <c r="F189">
        <v>3</v>
      </c>
      <c r="G189" t="s">
        <v>112</v>
      </c>
      <c r="H189">
        <v>5</v>
      </c>
      <c r="I189" t="s">
        <v>112</v>
      </c>
      <c r="J189">
        <v>1580</v>
      </c>
      <c r="K189">
        <v>3587</v>
      </c>
      <c r="L189">
        <v>1.5</v>
      </c>
      <c r="M189">
        <v>805</v>
      </c>
      <c r="N189">
        <v>1422</v>
      </c>
      <c r="O189">
        <v>1.5</v>
      </c>
      <c r="P189">
        <v>195</v>
      </c>
      <c r="Q189">
        <v>330</v>
      </c>
      <c r="R189">
        <v>1.5</v>
      </c>
      <c r="S189">
        <v>4000000</v>
      </c>
      <c r="T189" t="s">
        <v>403</v>
      </c>
      <c r="U189" t="s">
        <v>404</v>
      </c>
      <c r="V189" t="s">
        <v>406</v>
      </c>
      <c r="W189">
        <v>2137.5</v>
      </c>
      <c r="X189" t="b">
        <v>0</v>
      </c>
    </row>
    <row r="190" spans="1:24" x14ac:dyDescent="0.25">
      <c r="A190">
        <v>189</v>
      </c>
      <c r="B190" t="s">
        <v>407</v>
      </c>
      <c r="C190">
        <v>6</v>
      </c>
      <c r="D190">
        <v>25</v>
      </c>
      <c r="E190">
        <v>50</v>
      </c>
      <c r="F190">
        <v>4</v>
      </c>
      <c r="G190" t="s">
        <v>112</v>
      </c>
      <c r="H190">
        <v>5</v>
      </c>
      <c r="I190" t="s">
        <v>112</v>
      </c>
      <c r="J190">
        <v>343</v>
      </c>
      <c r="K190">
        <v>1788</v>
      </c>
      <c r="L190">
        <v>1.5</v>
      </c>
      <c r="M190">
        <v>258</v>
      </c>
      <c r="N190">
        <v>988</v>
      </c>
      <c r="O190">
        <v>1.5</v>
      </c>
      <c r="P190">
        <v>24</v>
      </c>
      <c r="Q190">
        <v>200</v>
      </c>
      <c r="R190">
        <v>1.5</v>
      </c>
      <c r="S190">
        <v>4000000</v>
      </c>
      <c r="T190" t="s">
        <v>346</v>
      </c>
      <c r="U190" t="s">
        <v>327</v>
      </c>
      <c r="W190">
        <v>775</v>
      </c>
      <c r="X190" t="b">
        <v>0</v>
      </c>
    </row>
    <row r="191" spans="1:24" x14ac:dyDescent="0.25">
      <c r="A191">
        <v>190</v>
      </c>
      <c r="B191" t="s">
        <v>408</v>
      </c>
      <c r="C191">
        <v>7</v>
      </c>
      <c r="D191">
        <v>30</v>
      </c>
      <c r="E191">
        <v>99</v>
      </c>
      <c r="F191">
        <v>4</v>
      </c>
      <c r="G191" t="s">
        <v>112</v>
      </c>
      <c r="H191">
        <v>5</v>
      </c>
      <c r="I191">
        <v>7</v>
      </c>
      <c r="J191">
        <v>1430</v>
      </c>
      <c r="K191">
        <v>3140</v>
      </c>
      <c r="L191">
        <v>1.5</v>
      </c>
      <c r="M191">
        <v>889</v>
      </c>
      <c r="N191">
        <v>1546</v>
      </c>
      <c r="O191">
        <v>1.5</v>
      </c>
      <c r="P191">
        <v>180</v>
      </c>
      <c r="Q191">
        <v>308</v>
      </c>
      <c r="R191">
        <v>1.5</v>
      </c>
      <c r="S191">
        <v>4000000</v>
      </c>
      <c r="T191" t="s">
        <v>348</v>
      </c>
      <c r="U191" t="s">
        <v>327</v>
      </c>
      <c r="V191" t="s">
        <v>409</v>
      </c>
      <c r="W191">
        <v>1387.5</v>
      </c>
      <c r="X191" t="b">
        <v>0</v>
      </c>
    </row>
    <row r="192" spans="1:24" x14ac:dyDescent="0.25">
      <c r="A192">
        <v>191</v>
      </c>
      <c r="B192" t="s">
        <v>410</v>
      </c>
      <c r="C192">
        <v>2</v>
      </c>
      <c r="D192">
        <v>5</v>
      </c>
      <c r="E192">
        <v>15</v>
      </c>
      <c r="F192">
        <v>0</v>
      </c>
      <c r="G192" t="s">
        <v>112</v>
      </c>
      <c r="H192">
        <v>6</v>
      </c>
      <c r="I192" t="s">
        <v>112</v>
      </c>
      <c r="J192">
        <v>32</v>
      </c>
      <c r="K192">
        <v>240</v>
      </c>
      <c r="L192">
        <v>1</v>
      </c>
      <c r="M192">
        <v>105</v>
      </c>
      <c r="N192">
        <v>394</v>
      </c>
      <c r="O192">
        <v>1</v>
      </c>
      <c r="P192">
        <v>15</v>
      </c>
      <c r="Q192">
        <v>125</v>
      </c>
      <c r="R192">
        <v>1</v>
      </c>
      <c r="S192">
        <v>1500000</v>
      </c>
      <c r="T192" t="s">
        <v>112</v>
      </c>
      <c r="U192" t="s">
        <v>411</v>
      </c>
      <c r="W192">
        <v>350</v>
      </c>
      <c r="X192" t="b">
        <v>0</v>
      </c>
    </row>
    <row r="193" spans="1:24" x14ac:dyDescent="0.25">
      <c r="A193">
        <v>192</v>
      </c>
      <c r="B193" t="s">
        <v>412</v>
      </c>
      <c r="C193">
        <v>3</v>
      </c>
      <c r="D193">
        <v>8</v>
      </c>
      <c r="E193">
        <v>50</v>
      </c>
      <c r="F193">
        <v>0</v>
      </c>
      <c r="G193" t="s">
        <v>112</v>
      </c>
      <c r="H193">
        <v>6</v>
      </c>
      <c r="I193" t="s">
        <v>112</v>
      </c>
      <c r="J193">
        <v>192</v>
      </c>
      <c r="K193">
        <v>525</v>
      </c>
      <c r="L193">
        <v>1</v>
      </c>
      <c r="M193">
        <v>355</v>
      </c>
      <c r="N193">
        <v>1097</v>
      </c>
      <c r="O193">
        <v>1</v>
      </c>
      <c r="P193">
        <v>113</v>
      </c>
      <c r="Q193">
        <v>164</v>
      </c>
      <c r="R193">
        <v>1</v>
      </c>
      <c r="S193">
        <v>1500000</v>
      </c>
      <c r="T193" t="s">
        <v>112</v>
      </c>
      <c r="U193" t="s">
        <v>411</v>
      </c>
      <c r="W193">
        <v>412.5</v>
      </c>
      <c r="X193" t="b">
        <v>0</v>
      </c>
    </row>
    <row r="194" spans="1:24" x14ac:dyDescent="0.25">
      <c r="A194">
        <v>193</v>
      </c>
      <c r="B194" t="s">
        <v>413</v>
      </c>
      <c r="C194">
        <v>2</v>
      </c>
      <c r="D194">
        <v>5</v>
      </c>
      <c r="E194">
        <v>15</v>
      </c>
      <c r="F194">
        <v>1</v>
      </c>
      <c r="G194" t="s">
        <v>112</v>
      </c>
      <c r="H194">
        <v>6</v>
      </c>
      <c r="I194" t="s">
        <v>112</v>
      </c>
      <c r="J194">
        <v>34</v>
      </c>
      <c r="K194">
        <v>255</v>
      </c>
      <c r="L194">
        <v>1</v>
      </c>
      <c r="M194">
        <v>101</v>
      </c>
      <c r="N194">
        <v>379</v>
      </c>
      <c r="O194">
        <v>1</v>
      </c>
      <c r="P194">
        <v>16</v>
      </c>
      <c r="Q194">
        <v>133</v>
      </c>
      <c r="R194">
        <v>1</v>
      </c>
      <c r="S194">
        <v>1500000</v>
      </c>
      <c r="T194" t="s">
        <v>112</v>
      </c>
      <c r="U194" t="s">
        <v>411</v>
      </c>
      <c r="W194">
        <v>350</v>
      </c>
      <c r="X194" t="b">
        <v>0</v>
      </c>
    </row>
    <row r="195" spans="1:24" x14ac:dyDescent="0.25">
      <c r="A195">
        <v>194</v>
      </c>
      <c r="B195" t="s">
        <v>414</v>
      </c>
      <c r="C195">
        <v>3</v>
      </c>
      <c r="D195">
        <v>8</v>
      </c>
      <c r="E195">
        <v>50</v>
      </c>
      <c r="F195">
        <v>1</v>
      </c>
      <c r="G195" t="s">
        <v>112</v>
      </c>
      <c r="H195">
        <v>6</v>
      </c>
      <c r="I195" t="s">
        <v>112</v>
      </c>
      <c r="J195">
        <v>204</v>
      </c>
      <c r="K195">
        <v>533</v>
      </c>
      <c r="L195">
        <v>1</v>
      </c>
      <c r="M195">
        <v>341</v>
      </c>
      <c r="N195">
        <v>1085</v>
      </c>
      <c r="O195">
        <v>1</v>
      </c>
      <c r="P195">
        <v>120</v>
      </c>
      <c r="Q195">
        <v>169</v>
      </c>
      <c r="R195">
        <v>1</v>
      </c>
      <c r="S195">
        <v>1500000</v>
      </c>
      <c r="T195" t="s">
        <v>112</v>
      </c>
      <c r="U195" t="s">
        <v>411</v>
      </c>
      <c r="W195">
        <v>412.5</v>
      </c>
      <c r="X195" t="b">
        <v>0</v>
      </c>
    </row>
    <row r="196" spans="1:24" x14ac:dyDescent="0.25">
      <c r="A196">
        <v>195</v>
      </c>
      <c r="B196" t="s">
        <v>415</v>
      </c>
      <c r="C196">
        <v>2</v>
      </c>
      <c r="D196">
        <v>5</v>
      </c>
      <c r="E196">
        <v>15</v>
      </c>
      <c r="F196">
        <v>2</v>
      </c>
      <c r="G196" t="s">
        <v>112</v>
      </c>
      <c r="H196">
        <v>6</v>
      </c>
      <c r="I196" t="s">
        <v>112</v>
      </c>
      <c r="J196">
        <v>33</v>
      </c>
      <c r="K196">
        <v>248</v>
      </c>
      <c r="L196">
        <v>1</v>
      </c>
      <c r="M196">
        <v>104</v>
      </c>
      <c r="N196">
        <v>390</v>
      </c>
      <c r="O196">
        <v>1</v>
      </c>
      <c r="P196">
        <v>16</v>
      </c>
      <c r="Q196">
        <v>133</v>
      </c>
      <c r="R196">
        <v>1</v>
      </c>
      <c r="S196">
        <v>1500000</v>
      </c>
      <c r="T196" t="s">
        <v>112</v>
      </c>
      <c r="U196" t="s">
        <v>411</v>
      </c>
      <c r="W196">
        <v>350</v>
      </c>
      <c r="X196" t="b">
        <v>0</v>
      </c>
    </row>
    <row r="197" spans="1:24" x14ac:dyDescent="0.25">
      <c r="A197">
        <v>196</v>
      </c>
      <c r="B197" t="s">
        <v>416</v>
      </c>
      <c r="C197">
        <v>3</v>
      </c>
      <c r="D197">
        <v>8</v>
      </c>
      <c r="E197">
        <v>50</v>
      </c>
      <c r="F197">
        <v>2</v>
      </c>
      <c r="G197" t="s">
        <v>112</v>
      </c>
      <c r="H197">
        <v>6</v>
      </c>
      <c r="I197" t="s">
        <v>112</v>
      </c>
      <c r="J197">
        <v>198</v>
      </c>
      <c r="K197">
        <v>542</v>
      </c>
      <c r="L197">
        <v>1</v>
      </c>
      <c r="M197">
        <v>351</v>
      </c>
      <c r="N197">
        <v>1110</v>
      </c>
      <c r="O197">
        <v>1</v>
      </c>
      <c r="P197">
        <v>120</v>
      </c>
      <c r="Q197">
        <v>165</v>
      </c>
      <c r="R197">
        <v>1</v>
      </c>
      <c r="S197">
        <v>1500000</v>
      </c>
      <c r="T197" t="s">
        <v>112</v>
      </c>
      <c r="U197" t="s">
        <v>411</v>
      </c>
      <c r="W197">
        <v>412.5</v>
      </c>
      <c r="X197" t="b">
        <v>0</v>
      </c>
    </row>
    <row r="198" spans="1:24" x14ac:dyDescent="0.25">
      <c r="A198">
        <v>197</v>
      </c>
      <c r="B198" t="s">
        <v>417</v>
      </c>
      <c r="C198">
        <v>2</v>
      </c>
      <c r="D198">
        <v>5</v>
      </c>
      <c r="E198">
        <v>15</v>
      </c>
      <c r="F198">
        <v>3</v>
      </c>
      <c r="G198" t="s">
        <v>112</v>
      </c>
      <c r="H198">
        <v>6</v>
      </c>
      <c r="I198" t="s">
        <v>112</v>
      </c>
      <c r="J198">
        <v>31</v>
      </c>
      <c r="K198">
        <v>233</v>
      </c>
      <c r="L198">
        <v>1</v>
      </c>
      <c r="M198">
        <v>100</v>
      </c>
      <c r="N198">
        <v>375</v>
      </c>
      <c r="O198">
        <v>1</v>
      </c>
      <c r="P198">
        <v>16</v>
      </c>
      <c r="Q198">
        <v>133</v>
      </c>
      <c r="R198">
        <v>1</v>
      </c>
      <c r="S198">
        <v>1500000</v>
      </c>
      <c r="T198" t="s">
        <v>112</v>
      </c>
      <c r="U198" t="s">
        <v>411</v>
      </c>
      <c r="W198">
        <v>350</v>
      </c>
      <c r="X198" t="b">
        <v>0</v>
      </c>
    </row>
    <row r="199" spans="1:24" x14ac:dyDescent="0.25">
      <c r="A199">
        <v>198</v>
      </c>
      <c r="B199" t="s">
        <v>418</v>
      </c>
      <c r="C199">
        <v>3</v>
      </c>
      <c r="D199">
        <v>8</v>
      </c>
      <c r="E199">
        <v>50</v>
      </c>
      <c r="F199">
        <v>3</v>
      </c>
      <c r="G199" t="s">
        <v>112</v>
      </c>
      <c r="H199">
        <v>6</v>
      </c>
      <c r="I199" t="s">
        <v>112</v>
      </c>
      <c r="J199">
        <v>186</v>
      </c>
      <c r="K199">
        <v>517</v>
      </c>
      <c r="L199">
        <v>1</v>
      </c>
      <c r="M199">
        <v>338</v>
      </c>
      <c r="N199">
        <v>1073</v>
      </c>
      <c r="O199">
        <v>1</v>
      </c>
      <c r="P199">
        <v>120</v>
      </c>
      <c r="Q199">
        <v>167</v>
      </c>
      <c r="R199">
        <v>1</v>
      </c>
      <c r="S199">
        <v>1500000</v>
      </c>
      <c r="T199" t="s">
        <v>112</v>
      </c>
      <c r="U199" t="s">
        <v>411</v>
      </c>
      <c r="W199">
        <v>412.5</v>
      </c>
      <c r="X199" t="b">
        <v>0</v>
      </c>
    </row>
    <row r="200" spans="1:24" x14ac:dyDescent="0.25">
      <c r="A200">
        <v>199</v>
      </c>
      <c r="B200" t="s">
        <v>419</v>
      </c>
      <c r="C200">
        <v>2</v>
      </c>
      <c r="D200">
        <v>5</v>
      </c>
      <c r="E200">
        <v>15</v>
      </c>
      <c r="F200">
        <v>4</v>
      </c>
      <c r="G200" t="s">
        <v>112</v>
      </c>
      <c r="H200">
        <v>6</v>
      </c>
      <c r="I200" t="s">
        <v>112</v>
      </c>
      <c r="J200">
        <v>30</v>
      </c>
      <c r="K200">
        <v>225</v>
      </c>
      <c r="L200">
        <v>1</v>
      </c>
      <c r="M200">
        <v>102</v>
      </c>
      <c r="N200">
        <v>383</v>
      </c>
      <c r="O200">
        <v>1</v>
      </c>
      <c r="P200">
        <v>15</v>
      </c>
      <c r="Q200">
        <v>125</v>
      </c>
      <c r="R200">
        <v>1</v>
      </c>
      <c r="S200">
        <v>1500000</v>
      </c>
      <c r="T200" t="s">
        <v>112</v>
      </c>
      <c r="U200" t="s">
        <v>411</v>
      </c>
      <c r="W200">
        <v>350</v>
      </c>
      <c r="X200" t="b">
        <v>0</v>
      </c>
    </row>
    <row r="201" spans="1:24" x14ac:dyDescent="0.25">
      <c r="A201">
        <v>200</v>
      </c>
      <c r="B201" t="s">
        <v>420</v>
      </c>
      <c r="C201">
        <v>3</v>
      </c>
      <c r="D201">
        <v>8</v>
      </c>
      <c r="E201">
        <v>50</v>
      </c>
      <c r="F201">
        <v>4</v>
      </c>
      <c r="G201" t="s">
        <v>112</v>
      </c>
      <c r="H201">
        <v>6</v>
      </c>
      <c r="I201" t="s">
        <v>112</v>
      </c>
      <c r="J201">
        <v>180</v>
      </c>
      <c r="K201">
        <v>508</v>
      </c>
      <c r="L201">
        <v>1</v>
      </c>
      <c r="M201">
        <v>345</v>
      </c>
      <c r="N201">
        <v>1079</v>
      </c>
      <c r="O201">
        <v>1</v>
      </c>
      <c r="P201">
        <v>113</v>
      </c>
      <c r="Q201">
        <v>163</v>
      </c>
      <c r="R201">
        <v>1</v>
      </c>
      <c r="S201">
        <v>1500000</v>
      </c>
      <c r="T201" t="s">
        <v>112</v>
      </c>
      <c r="U201" t="s">
        <v>411</v>
      </c>
      <c r="W201">
        <v>412.5</v>
      </c>
      <c r="X201" t="b">
        <v>0</v>
      </c>
    </row>
    <row r="202" spans="1:24" x14ac:dyDescent="0.25">
      <c r="A202">
        <v>201</v>
      </c>
      <c r="B202" t="s">
        <v>421</v>
      </c>
      <c r="C202">
        <v>5</v>
      </c>
      <c r="D202">
        <v>13</v>
      </c>
      <c r="E202">
        <v>99</v>
      </c>
      <c r="F202">
        <v>0</v>
      </c>
      <c r="G202" t="s">
        <v>112</v>
      </c>
      <c r="H202">
        <v>3</v>
      </c>
      <c r="I202" t="s">
        <v>112</v>
      </c>
      <c r="J202">
        <v>672</v>
      </c>
      <c r="K202">
        <v>1277</v>
      </c>
      <c r="L202">
        <v>1</v>
      </c>
      <c r="M202">
        <v>452</v>
      </c>
      <c r="N202">
        <v>949</v>
      </c>
      <c r="O202">
        <v>0.7</v>
      </c>
      <c r="P202">
        <v>406</v>
      </c>
      <c r="Q202">
        <v>650</v>
      </c>
      <c r="R202">
        <v>0.7</v>
      </c>
      <c r="S202">
        <v>4000000</v>
      </c>
      <c r="T202" t="s">
        <v>329</v>
      </c>
      <c r="U202" t="s">
        <v>251</v>
      </c>
      <c r="V202" t="s">
        <v>422</v>
      </c>
      <c r="W202">
        <v>675</v>
      </c>
      <c r="X202" t="b">
        <v>0</v>
      </c>
    </row>
    <row r="203" spans="1:24" x14ac:dyDescent="0.25">
      <c r="A203">
        <v>202</v>
      </c>
      <c r="B203" t="s">
        <v>423</v>
      </c>
      <c r="C203">
        <v>5</v>
      </c>
      <c r="D203">
        <v>13</v>
      </c>
      <c r="E203">
        <v>99</v>
      </c>
      <c r="F203">
        <v>1</v>
      </c>
      <c r="G203" t="s">
        <v>112</v>
      </c>
      <c r="H203">
        <v>3</v>
      </c>
      <c r="I203" t="s">
        <v>112</v>
      </c>
      <c r="J203">
        <v>690</v>
      </c>
      <c r="K203">
        <v>1311</v>
      </c>
      <c r="L203">
        <v>1</v>
      </c>
      <c r="M203">
        <v>436</v>
      </c>
      <c r="N203">
        <v>785</v>
      </c>
      <c r="O203">
        <v>0.7</v>
      </c>
      <c r="P203">
        <v>432</v>
      </c>
      <c r="Q203">
        <v>691</v>
      </c>
      <c r="R203">
        <v>0.7</v>
      </c>
      <c r="S203">
        <v>4000000</v>
      </c>
      <c r="T203" t="s">
        <v>425</v>
      </c>
      <c r="U203" t="s">
        <v>189</v>
      </c>
      <c r="V203" t="s">
        <v>424</v>
      </c>
      <c r="W203">
        <v>675</v>
      </c>
      <c r="X203" t="b">
        <v>0</v>
      </c>
    </row>
    <row r="204" spans="1:24" x14ac:dyDescent="0.25">
      <c r="A204">
        <v>203</v>
      </c>
      <c r="B204" t="s">
        <v>426</v>
      </c>
      <c r="C204">
        <v>5</v>
      </c>
      <c r="D204">
        <v>13</v>
      </c>
      <c r="E204">
        <v>99</v>
      </c>
      <c r="F204">
        <v>2</v>
      </c>
      <c r="G204" t="s">
        <v>112</v>
      </c>
      <c r="H204">
        <v>3</v>
      </c>
      <c r="I204" t="s">
        <v>112</v>
      </c>
      <c r="J204">
        <v>644</v>
      </c>
      <c r="K204">
        <v>1224</v>
      </c>
      <c r="L204">
        <v>1</v>
      </c>
      <c r="M204">
        <v>431</v>
      </c>
      <c r="N204">
        <v>819</v>
      </c>
      <c r="O204">
        <v>0.7</v>
      </c>
      <c r="P204">
        <v>448</v>
      </c>
      <c r="Q204">
        <v>717</v>
      </c>
      <c r="R204">
        <v>0.7</v>
      </c>
      <c r="S204">
        <v>4000000</v>
      </c>
      <c r="T204" t="s">
        <v>425</v>
      </c>
      <c r="U204" t="s">
        <v>258</v>
      </c>
      <c r="V204" t="s">
        <v>427</v>
      </c>
      <c r="W204">
        <v>675</v>
      </c>
      <c r="X204" t="b">
        <v>0</v>
      </c>
    </row>
    <row r="205" spans="1:24" x14ac:dyDescent="0.25">
      <c r="A205">
        <v>204</v>
      </c>
      <c r="B205" t="s">
        <v>428</v>
      </c>
      <c r="C205">
        <v>5</v>
      </c>
      <c r="D205">
        <v>13</v>
      </c>
      <c r="E205">
        <v>99</v>
      </c>
      <c r="F205">
        <v>3</v>
      </c>
      <c r="G205" t="s">
        <v>112</v>
      </c>
      <c r="H205">
        <v>3</v>
      </c>
      <c r="I205" t="s">
        <v>112</v>
      </c>
      <c r="J205">
        <v>654</v>
      </c>
      <c r="K205">
        <v>1243</v>
      </c>
      <c r="L205">
        <v>1</v>
      </c>
      <c r="M205">
        <v>415</v>
      </c>
      <c r="N205">
        <v>789</v>
      </c>
      <c r="O205">
        <v>0.7</v>
      </c>
      <c r="P205">
        <v>456</v>
      </c>
      <c r="Q205">
        <v>730</v>
      </c>
      <c r="R205">
        <v>0.7</v>
      </c>
      <c r="S205">
        <v>4000000</v>
      </c>
      <c r="T205" t="s">
        <v>425</v>
      </c>
      <c r="U205" t="s">
        <v>7</v>
      </c>
      <c r="V205" t="s">
        <v>429</v>
      </c>
      <c r="W205">
        <v>675</v>
      </c>
      <c r="X205" t="b">
        <v>0</v>
      </c>
    </row>
    <row r="206" spans="1:24" x14ac:dyDescent="0.25">
      <c r="A206">
        <v>205</v>
      </c>
      <c r="B206" t="s">
        <v>430</v>
      </c>
      <c r="C206">
        <v>5</v>
      </c>
      <c r="D206">
        <v>13</v>
      </c>
      <c r="E206">
        <v>99</v>
      </c>
      <c r="F206">
        <v>4</v>
      </c>
      <c r="G206" t="s">
        <v>112</v>
      </c>
      <c r="H206">
        <v>3</v>
      </c>
      <c r="I206">
        <v>7</v>
      </c>
      <c r="J206">
        <v>672</v>
      </c>
      <c r="K206">
        <v>1277</v>
      </c>
      <c r="L206">
        <v>1</v>
      </c>
      <c r="M206">
        <v>473</v>
      </c>
      <c r="N206">
        <v>1088</v>
      </c>
      <c r="O206">
        <v>0.7</v>
      </c>
      <c r="P206">
        <v>399</v>
      </c>
      <c r="Q206">
        <v>638</v>
      </c>
      <c r="R206">
        <v>0.7</v>
      </c>
      <c r="S206">
        <v>4000000</v>
      </c>
      <c r="T206" t="s">
        <v>346</v>
      </c>
      <c r="U206" t="s">
        <v>264</v>
      </c>
      <c r="V206" t="s">
        <v>431</v>
      </c>
      <c r="W206">
        <v>675</v>
      </c>
      <c r="X206" t="b">
        <v>0</v>
      </c>
    </row>
    <row r="207" spans="1:24" x14ac:dyDescent="0.25">
      <c r="A207">
        <v>206</v>
      </c>
      <c r="B207" t="s">
        <v>432</v>
      </c>
      <c r="C207">
        <v>4</v>
      </c>
      <c r="D207">
        <v>8</v>
      </c>
      <c r="E207">
        <v>70</v>
      </c>
      <c r="F207">
        <v>0</v>
      </c>
      <c r="G207" t="s">
        <v>112</v>
      </c>
      <c r="H207">
        <v>3</v>
      </c>
      <c r="I207" t="s">
        <v>112</v>
      </c>
      <c r="J207">
        <v>220</v>
      </c>
      <c r="K207">
        <v>990</v>
      </c>
      <c r="L207">
        <v>1</v>
      </c>
      <c r="M207">
        <v>110</v>
      </c>
      <c r="N207">
        <v>583</v>
      </c>
      <c r="O207">
        <v>0.7</v>
      </c>
      <c r="P207">
        <v>150</v>
      </c>
      <c r="Q207">
        <v>450</v>
      </c>
      <c r="R207">
        <v>0.7</v>
      </c>
      <c r="S207">
        <v>1500000</v>
      </c>
      <c r="T207" t="s">
        <v>257</v>
      </c>
      <c r="U207" t="s">
        <v>434</v>
      </c>
      <c r="V207" t="s">
        <v>433</v>
      </c>
      <c r="W207">
        <v>450</v>
      </c>
      <c r="X207" t="b">
        <v>0</v>
      </c>
    </row>
    <row r="208" spans="1:24" x14ac:dyDescent="0.25">
      <c r="A208">
        <v>207</v>
      </c>
      <c r="B208" t="s">
        <v>435</v>
      </c>
      <c r="C208">
        <v>4</v>
      </c>
      <c r="D208">
        <v>8</v>
      </c>
      <c r="E208">
        <v>70</v>
      </c>
      <c r="F208">
        <v>1</v>
      </c>
      <c r="G208" t="s">
        <v>112</v>
      </c>
      <c r="H208">
        <v>3</v>
      </c>
      <c r="I208" t="s">
        <v>112</v>
      </c>
      <c r="J208">
        <v>230</v>
      </c>
      <c r="K208">
        <v>1035</v>
      </c>
      <c r="L208">
        <v>1</v>
      </c>
      <c r="M208">
        <v>105</v>
      </c>
      <c r="N208">
        <v>557</v>
      </c>
      <c r="O208">
        <v>0.7</v>
      </c>
      <c r="P208">
        <v>160</v>
      </c>
      <c r="Q208">
        <v>480</v>
      </c>
      <c r="R208">
        <v>0.7</v>
      </c>
      <c r="S208">
        <v>1500000</v>
      </c>
      <c r="T208" t="s">
        <v>257</v>
      </c>
      <c r="U208" t="s">
        <v>434</v>
      </c>
      <c r="V208" t="s">
        <v>433</v>
      </c>
      <c r="W208">
        <v>450</v>
      </c>
      <c r="X208" t="b">
        <v>0</v>
      </c>
    </row>
    <row r="209" spans="1:24" x14ac:dyDescent="0.25">
      <c r="A209">
        <v>208</v>
      </c>
      <c r="B209" t="s">
        <v>436</v>
      </c>
      <c r="C209">
        <v>4</v>
      </c>
      <c r="D209">
        <v>8</v>
      </c>
      <c r="E209">
        <v>70</v>
      </c>
      <c r="F209">
        <v>2</v>
      </c>
      <c r="G209" t="s">
        <v>112</v>
      </c>
      <c r="H209">
        <v>3</v>
      </c>
      <c r="I209" t="s">
        <v>112</v>
      </c>
      <c r="J209">
        <v>210</v>
      </c>
      <c r="K209">
        <v>945</v>
      </c>
      <c r="L209">
        <v>1</v>
      </c>
      <c r="M209">
        <v>108</v>
      </c>
      <c r="N209">
        <v>572</v>
      </c>
      <c r="O209">
        <v>0.7</v>
      </c>
      <c r="P209">
        <v>155</v>
      </c>
      <c r="Q209">
        <v>465</v>
      </c>
      <c r="R209">
        <v>0.7</v>
      </c>
      <c r="S209">
        <v>1500000</v>
      </c>
      <c r="T209" t="s">
        <v>257</v>
      </c>
      <c r="U209" t="s">
        <v>434</v>
      </c>
      <c r="V209" t="s">
        <v>433</v>
      </c>
      <c r="W209">
        <v>450</v>
      </c>
      <c r="X209" t="b">
        <v>0</v>
      </c>
    </row>
    <row r="210" spans="1:24" x14ac:dyDescent="0.25">
      <c r="A210">
        <v>209</v>
      </c>
      <c r="B210" t="s">
        <v>437</v>
      </c>
      <c r="C210">
        <v>4</v>
      </c>
      <c r="D210">
        <v>8</v>
      </c>
      <c r="E210">
        <v>70</v>
      </c>
      <c r="F210">
        <v>3</v>
      </c>
      <c r="G210" t="s">
        <v>112</v>
      </c>
      <c r="H210">
        <v>3</v>
      </c>
      <c r="I210" t="s">
        <v>112</v>
      </c>
      <c r="J210">
        <v>200</v>
      </c>
      <c r="K210">
        <v>900</v>
      </c>
      <c r="L210">
        <v>1</v>
      </c>
      <c r="M210">
        <v>100</v>
      </c>
      <c r="N210">
        <v>530</v>
      </c>
      <c r="O210">
        <v>0.7</v>
      </c>
      <c r="P210">
        <v>158</v>
      </c>
      <c r="Q210">
        <v>474</v>
      </c>
      <c r="R210">
        <v>0.7</v>
      </c>
      <c r="S210">
        <v>1500000</v>
      </c>
      <c r="T210" t="s">
        <v>257</v>
      </c>
      <c r="U210" t="s">
        <v>434</v>
      </c>
      <c r="V210" t="s">
        <v>433</v>
      </c>
      <c r="W210">
        <v>450</v>
      </c>
      <c r="X210" t="b">
        <v>0</v>
      </c>
    </row>
    <row r="211" spans="1:24" x14ac:dyDescent="0.25">
      <c r="A211">
        <v>210</v>
      </c>
      <c r="B211" t="s">
        <v>438</v>
      </c>
      <c r="C211">
        <v>4</v>
      </c>
      <c r="D211">
        <v>8</v>
      </c>
      <c r="E211">
        <v>70</v>
      </c>
      <c r="F211">
        <v>4</v>
      </c>
      <c r="G211" t="s">
        <v>112</v>
      </c>
      <c r="H211">
        <v>3</v>
      </c>
      <c r="I211" t="s">
        <v>112</v>
      </c>
      <c r="J211">
        <v>190</v>
      </c>
      <c r="K211">
        <v>855</v>
      </c>
      <c r="L211">
        <v>1</v>
      </c>
      <c r="M211">
        <v>103</v>
      </c>
      <c r="N211">
        <v>546</v>
      </c>
      <c r="O211">
        <v>0.7</v>
      </c>
      <c r="P211">
        <v>152</v>
      </c>
      <c r="Q211">
        <v>456</v>
      </c>
      <c r="R211">
        <v>0.7</v>
      </c>
      <c r="S211">
        <v>1500000</v>
      </c>
      <c r="T211" t="s">
        <v>257</v>
      </c>
      <c r="U211" t="s">
        <v>434</v>
      </c>
      <c r="V211" t="s">
        <v>433</v>
      </c>
      <c r="W211">
        <v>450</v>
      </c>
      <c r="X211" t="b">
        <v>0</v>
      </c>
    </row>
    <row r="212" spans="1:24" x14ac:dyDescent="0.25">
      <c r="A212">
        <v>211</v>
      </c>
      <c r="B212" t="s">
        <v>439</v>
      </c>
      <c r="C212">
        <v>5</v>
      </c>
      <c r="D212">
        <v>15</v>
      </c>
      <c r="E212">
        <v>99</v>
      </c>
      <c r="F212">
        <v>0</v>
      </c>
      <c r="G212" t="s">
        <v>112</v>
      </c>
      <c r="H212">
        <v>4</v>
      </c>
      <c r="I212" t="s">
        <v>112</v>
      </c>
      <c r="J212">
        <v>1130</v>
      </c>
      <c r="K212">
        <v>2825</v>
      </c>
      <c r="L212">
        <v>1</v>
      </c>
      <c r="M212">
        <v>950</v>
      </c>
      <c r="N212">
        <v>1330</v>
      </c>
      <c r="O212">
        <v>1</v>
      </c>
      <c r="P212">
        <v>93</v>
      </c>
      <c r="Q212">
        <v>186</v>
      </c>
      <c r="R212">
        <v>1</v>
      </c>
      <c r="S212">
        <v>4000000</v>
      </c>
      <c r="T212" t="s">
        <v>305</v>
      </c>
      <c r="U212" t="s">
        <v>441</v>
      </c>
      <c r="V212" t="s">
        <v>440</v>
      </c>
      <c r="W212">
        <v>750</v>
      </c>
      <c r="X212" t="b">
        <v>0</v>
      </c>
    </row>
    <row r="213" spans="1:24" x14ac:dyDescent="0.25">
      <c r="A213">
        <v>212</v>
      </c>
      <c r="B213" t="s">
        <v>442</v>
      </c>
      <c r="C213">
        <v>5</v>
      </c>
      <c r="D213">
        <v>15</v>
      </c>
      <c r="E213">
        <v>99</v>
      </c>
      <c r="F213">
        <v>1</v>
      </c>
      <c r="G213" t="s">
        <v>112</v>
      </c>
      <c r="H213">
        <v>4</v>
      </c>
      <c r="I213" t="s">
        <v>112</v>
      </c>
      <c r="J213">
        <v>1222</v>
      </c>
      <c r="K213">
        <v>3055</v>
      </c>
      <c r="L213">
        <v>1</v>
      </c>
      <c r="M213">
        <v>903</v>
      </c>
      <c r="N213">
        <v>1264</v>
      </c>
      <c r="O213">
        <v>1</v>
      </c>
      <c r="P213">
        <v>101</v>
      </c>
      <c r="Q213">
        <v>202</v>
      </c>
      <c r="R213">
        <v>1</v>
      </c>
      <c r="S213">
        <v>4000000</v>
      </c>
      <c r="T213" t="s">
        <v>310</v>
      </c>
      <c r="U213" t="s">
        <v>444</v>
      </c>
      <c r="V213" t="s">
        <v>443</v>
      </c>
      <c r="W213">
        <v>750</v>
      </c>
      <c r="X213" t="b">
        <v>0</v>
      </c>
    </row>
    <row r="214" spans="1:24" x14ac:dyDescent="0.25">
      <c r="A214">
        <v>213</v>
      </c>
      <c r="B214" t="s">
        <v>445</v>
      </c>
      <c r="C214">
        <v>5</v>
      </c>
      <c r="D214">
        <v>15</v>
      </c>
      <c r="E214">
        <v>99</v>
      </c>
      <c r="F214">
        <v>2</v>
      </c>
      <c r="G214" t="s">
        <v>112</v>
      </c>
      <c r="H214">
        <v>4</v>
      </c>
      <c r="I214" t="s">
        <v>112</v>
      </c>
      <c r="J214">
        <v>1204</v>
      </c>
      <c r="K214">
        <v>3010</v>
      </c>
      <c r="L214">
        <v>1</v>
      </c>
      <c r="M214">
        <v>914</v>
      </c>
      <c r="N214">
        <v>1280</v>
      </c>
      <c r="O214">
        <v>1</v>
      </c>
      <c r="P214">
        <v>109</v>
      </c>
      <c r="Q214">
        <v>218</v>
      </c>
      <c r="R214">
        <v>1</v>
      </c>
      <c r="S214">
        <v>4000000</v>
      </c>
      <c r="T214" t="s">
        <v>315</v>
      </c>
      <c r="U214" t="s">
        <v>447</v>
      </c>
      <c r="V214" t="s">
        <v>446</v>
      </c>
      <c r="W214">
        <v>750</v>
      </c>
      <c r="X214" t="b">
        <v>0</v>
      </c>
    </row>
    <row r="215" spans="1:24" x14ac:dyDescent="0.25">
      <c r="A215">
        <v>214</v>
      </c>
      <c r="B215" t="s">
        <v>448</v>
      </c>
      <c r="C215">
        <v>5</v>
      </c>
      <c r="D215">
        <v>15</v>
      </c>
      <c r="E215">
        <v>99</v>
      </c>
      <c r="F215">
        <v>3</v>
      </c>
      <c r="G215" t="s">
        <v>112</v>
      </c>
      <c r="H215">
        <v>4</v>
      </c>
      <c r="I215" t="s">
        <v>112</v>
      </c>
      <c r="J215">
        <v>1158</v>
      </c>
      <c r="K215">
        <v>2895</v>
      </c>
      <c r="L215">
        <v>1</v>
      </c>
      <c r="M215">
        <v>924</v>
      </c>
      <c r="N215">
        <v>1294</v>
      </c>
      <c r="O215">
        <v>1</v>
      </c>
      <c r="P215">
        <v>117</v>
      </c>
      <c r="Q215">
        <v>234</v>
      </c>
      <c r="R215">
        <v>1</v>
      </c>
      <c r="S215">
        <v>4000000</v>
      </c>
      <c r="T215" t="s">
        <v>319</v>
      </c>
      <c r="U215" t="s">
        <v>450</v>
      </c>
      <c r="V215" t="s">
        <v>449</v>
      </c>
      <c r="W215">
        <v>750</v>
      </c>
      <c r="X215" t="b">
        <v>0</v>
      </c>
    </row>
    <row r="216" spans="1:24" x14ac:dyDescent="0.25">
      <c r="A216">
        <v>215</v>
      </c>
      <c r="B216" t="s">
        <v>451</v>
      </c>
      <c r="C216">
        <v>5</v>
      </c>
      <c r="D216">
        <v>15</v>
      </c>
      <c r="E216">
        <v>99</v>
      </c>
      <c r="F216">
        <v>4</v>
      </c>
      <c r="G216" t="s">
        <v>112</v>
      </c>
      <c r="H216">
        <v>4</v>
      </c>
      <c r="I216">
        <v>7</v>
      </c>
      <c r="J216">
        <v>1176</v>
      </c>
      <c r="K216">
        <v>2940</v>
      </c>
      <c r="L216">
        <v>1</v>
      </c>
      <c r="M216">
        <v>940</v>
      </c>
      <c r="N216">
        <v>1316</v>
      </c>
      <c r="O216">
        <v>1</v>
      </c>
      <c r="P216">
        <v>86</v>
      </c>
      <c r="Q216">
        <v>172</v>
      </c>
      <c r="R216">
        <v>1</v>
      </c>
      <c r="S216">
        <v>4000000</v>
      </c>
      <c r="T216" t="s">
        <v>324</v>
      </c>
      <c r="U216" t="s">
        <v>453</v>
      </c>
      <c r="V216" t="s">
        <v>452</v>
      </c>
      <c r="W216">
        <v>750</v>
      </c>
      <c r="X216" t="b">
        <v>0</v>
      </c>
    </row>
    <row r="217" spans="1:24" x14ac:dyDescent="0.25">
      <c r="A217">
        <v>216</v>
      </c>
      <c r="B217" t="s">
        <v>2162</v>
      </c>
      <c r="C217">
        <v>6</v>
      </c>
      <c r="D217">
        <v>40</v>
      </c>
      <c r="E217">
        <v>99</v>
      </c>
      <c r="F217">
        <v>0</v>
      </c>
      <c r="G217" t="s">
        <v>112</v>
      </c>
      <c r="H217">
        <v>4</v>
      </c>
      <c r="I217" t="s">
        <v>112</v>
      </c>
      <c r="J217">
        <v>316</v>
      </c>
      <c r="K217">
        <v>1612</v>
      </c>
      <c r="L217">
        <v>1.5</v>
      </c>
      <c r="M217">
        <v>443</v>
      </c>
      <c r="N217">
        <v>1816</v>
      </c>
      <c r="O217">
        <v>1.5</v>
      </c>
      <c r="P217">
        <v>122</v>
      </c>
      <c r="Q217">
        <v>244</v>
      </c>
      <c r="R217">
        <v>1.5</v>
      </c>
      <c r="S217">
        <v>4000000</v>
      </c>
      <c r="T217" t="s">
        <v>121</v>
      </c>
      <c r="U217" t="s">
        <v>454</v>
      </c>
      <c r="V217" t="s">
        <v>350</v>
      </c>
      <c r="W217">
        <v>1725</v>
      </c>
      <c r="X217" t="b">
        <v>0</v>
      </c>
    </row>
    <row r="218" spans="1:24" x14ac:dyDescent="0.25">
      <c r="A218">
        <v>217</v>
      </c>
      <c r="B218" t="s">
        <v>2163</v>
      </c>
      <c r="C218">
        <v>6</v>
      </c>
      <c r="D218">
        <v>40</v>
      </c>
      <c r="E218">
        <v>99</v>
      </c>
      <c r="F218">
        <v>1</v>
      </c>
      <c r="G218" t="s">
        <v>112</v>
      </c>
      <c r="H218">
        <v>4</v>
      </c>
      <c r="I218" t="s">
        <v>112</v>
      </c>
      <c r="J218">
        <v>310</v>
      </c>
      <c r="K218">
        <v>1581</v>
      </c>
      <c r="L218">
        <v>1.5</v>
      </c>
      <c r="M218">
        <v>453</v>
      </c>
      <c r="N218">
        <v>1857</v>
      </c>
      <c r="O218">
        <v>1.5</v>
      </c>
      <c r="P218">
        <v>113</v>
      </c>
      <c r="Q218">
        <v>226</v>
      </c>
      <c r="R218">
        <v>1.5</v>
      </c>
      <c r="S218">
        <v>4000000</v>
      </c>
      <c r="T218" t="s">
        <v>129</v>
      </c>
      <c r="U218" t="s">
        <v>455</v>
      </c>
      <c r="V218" t="s">
        <v>352</v>
      </c>
      <c r="W218">
        <v>1725</v>
      </c>
      <c r="X218" t="b">
        <v>0</v>
      </c>
    </row>
    <row r="219" spans="1:24" x14ac:dyDescent="0.25">
      <c r="A219">
        <v>218</v>
      </c>
      <c r="B219" t="s">
        <v>2164</v>
      </c>
      <c r="C219">
        <v>6</v>
      </c>
      <c r="D219">
        <v>40</v>
      </c>
      <c r="E219">
        <v>99</v>
      </c>
      <c r="F219">
        <v>2</v>
      </c>
      <c r="G219" t="s">
        <v>112</v>
      </c>
      <c r="H219">
        <v>4</v>
      </c>
      <c r="I219" t="s">
        <v>112</v>
      </c>
      <c r="J219">
        <v>321</v>
      </c>
      <c r="K219">
        <v>1637</v>
      </c>
      <c r="L219">
        <v>1.5</v>
      </c>
      <c r="M219">
        <v>440</v>
      </c>
      <c r="N219">
        <v>1804</v>
      </c>
      <c r="O219">
        <v>1.5</v>
      </c>
      <c r="P219">
        <v>125</v>
      </c>
      <c r="Q219">
        <v>250</v>
      </c>
      <c r="R219">
        <v>1.5</v>
      </c>
      <c r="S219">
        <v>4000000</v>
      </c>
      <c r="T219" t="s">
        <v>137</v>
      </c>
      <c r="U219" t="s">
        <v>456</v>
      </c>
      <c r="V219" t="s">
        <v>354</v>
      </c>
      <c r="W219">
        <v>1725</v>
      </c>
      <c r="X219" t="b">
        <v>0</v>
      </c>
    </row>
    <row r="220" spans="1:24" x14ac:dyDescent="0.25">
      <c r="A220">
        <v>219</v>
      </c>
      <c r="B220" t="s">
        <v>2165</v>
      </c>
      <c r="C220">
        <v>6</v>
      </c>
      <c r="D220">
        <v>40</v>
      </c>
      <c r="E220">
        <v>99</v>
      </c>
      <c r="F220">
        <v>3</v>
      </c>
      <c r="G220" t="s">
        <v>112</v>
      </c>
      <c r="H220">
        <v>4</v>
      </c>
      <c r="I220" t="s">
        <v>112</v>
      </c>
      <c r="J220">
        <v>309</v>
      </c>
      <c r="K220">
        <v>1576</v>
      </c>
      <c r="L220">
        <v>1.5</v>
      </c>
      <c r="M220">
        <v>428</v>
      </c>
      <c r="N220">
        <v>1755</v>
      </c>
      <c r="O220">
        <v>1.5</v>
      </c>
      <c r="P220">
        <v>114</v>
      </c>
      <c r="Q220">
        <v>228</v>
      </c>
      <c r="R220">
        <v>1.5</v>
      </c>
      <c r="S220">
        <v>4000000</v>
      </c>
      <c r="T220" t="s">
        <v>145</v>
      </c>
      <c r="U220" t="s">
        <v>457</v>
      </c>
      <c r="V220" t="s">
        <v>356</v>
      </c>
      <c r="W220">
        <v>1725</v>
      </c>
      <c r="X220" t="b">
        <v>0</v>
      </c>
    </row>
    <row r="221" spans="1:24" x14ac:dyDescent="0.25">
      <c r="A221">
        <v>220</v>
      </c>
      <c r="B221" t="s">
        <v>2166</v>
      </c>
      <c r="C221">
        <v>6</v>
      </c>
      <c r="D221">
        <v>40</v>
      </c>
      <c r="E221">
        <v>99</v>
      </c>
      <c r="F221">
        <v>4</v>
      </c>
      <c r="G221" t="s">
        <v>112</v>
      </c>
      <c r="H221">
        <v>4</v>
      </c>
      <c r="I221" t="s">
        <v>112</v>
      </c>
      <c r="J221">
        <v>312</v>
      </c>
      <c r="K221">
        <v>1591</v>
      </c>
      <c r="L221">
        <v>1.5</v>
      </c>
      <c r="M221">
        <v>432</v>
      </c>
      <c r="N221">
        <v>1771</v>
      </c>
      <c r="O221">
        <v>1.5</v>
      </c>
      <c r="P221">
        <v>111</v>
      </c>
      <c r="Q221">
        <v>222</v>
      </c>
      <c r="R221">
        <v>1.5</v>
      </c>
      <c r="S221">
        <v>4000000</v>
      </c>
      <c r="T221" t="s">
        <v>153</v>
      </c>
      <c r="U221" t="s">
        <v>458</v>
      </c>
      <c r="V221" t="s">
        <v>358</v>
      </c>
      <c r="W221">
        <v>1725</v>
      </c>
      <c r="X221" t="b">
        <v>0</v>
      </c>
    </row>
    <row r="222" spans="1:24" x14ac:dyDescent="0.25">
      <c r="A222">
        <v>221</v>
      </c>
      <c r="B222" t="s">
        <v>459</v>
      </c>
      <c r="C222">
        <v>4</v>
      </c>
      <c r="D222">
        <v>7</v>
      </c>
      <c r="E222">
        <v>50</v>
      </c>
      <c r="F222">
        <v>1</v>
      </c>
      <c r="G222" t="s">
        <v>112</v>
      </c>
      <c r="H222">
        <v>2</v>
      </c>
      <c r="I222" t="s">
        <v>112</v>
      </c>
      <c r="J222">
        <v>72</v>
      </c>
      <c r="K222">
        <v>1624</v>
      </c>
      <c r="L222">
        <v>1</v>
      </c>
      <c r="M222">
        <v>76</v>
      </c>
      <c r="N222">
        <v>705</v>
      </c>
      <c r="O222">
        <v>1</v>
      </c>
      <c r="P222">
        <v>9</v>
      </c>
      <c r="Q222">
        <v>46</v>
      </c>
      <c r="R222">
        <v>1</v>
      </c>
      <c r="S222">
        <v>1500000</v>
      </c>
      <c r="T222" t="s">
        <v>460</v>
      </c>
      <c r="U222" t="s">
        <v>396</v>
      </c>
      <c r="W222">
        <v>412.5</v>
      </c>
      <c r="X222" t="b">
        <v>0</v>
      </c>
    </row>
    <row r="223" spans="1:24" x14ac:dyDescent="0.25">
      <c r="A223">
        <v>222</v>
      </c>
      <c r="B223" t="s">
        <v>461</v>
      </c>
      <c r="C223">
        <v>5</v>
      </c>
      <c r="D223">
        <v>15</v>
      </c>
      <c r="E223">
        <v>70</v>
      </c>
      <c r="F223">
        <v>1</v>
      </c>
      <c r="G223" t="s">
        <v>112</v>
      </c>
      <c r="H223">
        <v>2</v>
      </c>
      <c r="I223" t="s">
        <v>112</v>
      </c>
      <c r="J223">
        <v>1462</v>
      </c>
      <c r="K223">
        <v>2242</v>
      </c>
      <c r="L223">
        <v>1.5</v>
      </c>
      <c r="M223">
        <v>635</v>
      </c>
      <c r="N223">
        <v>1207</v>
      </c>
      <c r="O223">
        <v>1.5</v>
      </c>
      <c r="P223">
        <v>41</v>
      </c>
      <c r="Q223">
        <v>99</v>
      </c>
      <c r="R223">
        <v>1.5</v>
      </c>
      <c r="S223">
        <v>4000000</v>
      </c>
      <c r="T223" t="s">
        <v>462</v>
      </c>
      <c r="U223" t="s">
        <v>396</v>
      </c>
      <c r="W223">
        <v>750</v>
      </c>
      <c r="X223" t="b">
        <v>0</v>
      </c>
    </row>
    <row r="224" spans="1:24" x14ac:dyDescent="0.25">
      <c r="A224">
        <v>223</v>
      </c>
      <c r="B224" t="s">
        <v>463</v>
      </c>
      <c r="C224">
        <v>4</v>
      </c>
      <c r="D224">
        <v>7</v>
      </c>
      <c r="E224">
        <v>50</v>
      </c>
      <c r="F224">
        <v>2</v>
      </c>
      <c r="G224" t="s">
        <v>112</v>
      </c>
      <c r="H224">
        <v>1</v>
      </c>
      <c r="I224" t="s">
        <v>112</v>
      </c>
      <c r="J224">
        <v>61</v>
      </c>
      <c r="K224">
        <v>906</v>
      </c>
      <c r="L224">
        <v>1</v>
      </c>
      <c r="M224">
        <v>68</v>
      </c>
      <c r="N224">
        <v>752</v>
      </c>
      <c r="O224">
        <v>1</v>
      </c>
      <c r="P224">
        <v>15</v>
      </c>
      <c r="Q224">
        <v>165</v>
      </c>
      <c r="R224">
        <v>1</v>
      </c>
      <c r="S224">
        <v>1500000</v>
      </c>
      <c r="T224" t="s">
        <v>464</v>
      </c>
      <c r="U224" t="s">
        <v>398</v>
      </c>
      <c r="W224">
        <v>412.5</v>
      </c>
      <c r="X224" t="b">
        <v>0</v>
      </c>
    </row>
    <row r="225" spans="1:24" x14ac:dyDescent="0.25">
      <c r="A225">
        <v>224</v>
      </c>
      <c r="B225" t="s">
        <v>465</v>
      </c>
      <c r="C225">
        <v>5</v>
      </c>
      <c r="D225">
        <v>15</v>
      </c>
      <c r="E225">
        <v>70</v>
      </c>
      <c r="F225">
        <v>2</v>
      </c>
      <c r="G225" t="s">
        <v>112</v>
      </c>
      <c r="H225">
        <v>1</v>
      </c>
      <c r="I225" t="s">
        <v>112</v>
      </c>
      <c r="J225">
        <v>815</v>
      </c>
      <c r="K225">
        <v>1724</v>
      </c>
      <c r="L225">
        <v>1.5</v>
      </c>
      <c r="M225">
        <v>677</v>
      </c>
      <c r="N225">
        <v>1286</v>
      </c>
      <c r="O225">
        <v>1.5</v>
      </c>
      <c r="P225">
        <v>149</v>
      </c>
      <c r="Q225">
        <v>286</v>
      </c>
      <c r="R225">
        <v>1.5</v>
      </c>
      <c r="S225">
        <v>4000000</v>
      </c>
      <c r="T225" t="s">
        <v>466</v>
      </c>
      <c r="U225" t="s">
        <v>398</v>
      </c>
      <c r="W225">
        <v>750</v>
      </c>
      <c r="X225" t="b">
        <v>0</v>
      </c>
    </row>
    <row r="226" spans="1:24" x14ac:dyDescent="0.25">
      <c r="A226">
        <v>225</v>
      </c>
      <c r="B226" t="s">
        <v>467</v>
      </c>
      <c r="C226">
        <v>4</v>
      </c>
      <c r="D226">
        <v>6</v>
      </c>
      <c r="E226">
        <v>50</v>
      </c>
      <c r="F226">
        <v>3</v>
      </c>
      <c r="G226" t="s">
        <v>112</v>
      </c>
      <c r="H226">
        <v>3</v>
      </c>
      <c r="I226" t="s">
        <v>112</v>
      </c>
      <c r="J226">
        <v>55</v>
      </c>
      <c r="K226">
        <v>1000</v>
      </c>
      <c r="L226">
        <v>1</v>
      </c>
      <c r="M226">
        <v>67</v>
      </c>
      <c r="N226">
        <v>555</v>
      </c>
      <c r="O226">
        <v>1</v>
      </c>
      <c r="P226">
        <v>35</v>
      </c>
      <c r="Q226">
        <v>256</v>
      </c>
      <c r="R226">
        <v>1</v>
      </c>
      <c r="S226">
        <v>1500000</v>
      </c>
      <c r="T226" t="s">
        <v>468</v>
      </c>
      <c r="U226" t="s">
        <v>400</v>
      </c>
      <c r="W226">
        <v>375</v>
      </c>
      <c r="X226" t="b">
        <v>0</v>
      </c>
    </row>
    <row r="227" spans="1:24" x14ac:dyDescent="0.25">
      <c r="A227">
        <v>226</v>
      </c>
      <c r="B227" t="s">
        <v>469</v>
      </c>
      <c r="C227">
        <v>5</v>
      </c>
      <c r="D227">
        <v>15</v>
      </c>
      <c r="E227">
        <v>70</v>
      </c>
      <c r="F227">
        <v>3</v>
      </c>
      <c r="G227" t="s">
        <v>112</v>
      </c>
      <c r="H227">
        <v>3</v>
      </c>
      <c r="I227" t="s">
        <v>112</v>
      </c>
      <c r="J227">
        <v>900</v>
      </c>
      <c r="K227">
        <v>1810</v>
      </c>
      <c r="L227">
        <v>1.5</v>
      </c>
      <c r="M227">
        <v>500</v>
      </c>
      <c r="N227">
        <v>1050</v>
      </c>
      <c r="O227">
        <v>1.5</v>
      </c>
      <c r="P227">
        <v>230</v>
      </c>
      <c r="Q227">
        <v>477</v>
      </c>
      <c r="R227">
        <v>1.5</v>
      </c>
      <c r="S227">
        <v>4000000</v>
      </c>
      <c r="T227" t="s">
        <v>470</v>
      </c>
      <c r="U227" t="s">
        <v>400</v>
      </c>
      <c r="W227">
        <v>750</v>
      </c>
      <c r="X227" t="b">
        <v>0</v>
      </c>
    </row>
    <row r="228" spans="1:24" x14ac:dyDescent="0.25">
      <c r="A228">
        <v>227</v>
      </c>
      <c r="B228" t="s">
        <v>471</v>
      </c>
      <c r="C228">
        <v>5</v>
      </c>
      <c r="D228">
        <v>1</v>
      </c>
      <c r="E228">
        <v>1</v>
      </c>
      <c r="F228">
        <v>2</v>
      </c>
      <c r="G228" t="s">
        <v>112</v>
      </c>
      <c r="H228">
        <v>0</v>
      </c>
      <c r="I228" t="s">
        <v>112</v>
      </c>
      <c r="J228">
        <v>300</v>
      </c>
      <c r="K228">
        <v>300</v>
      </c>
      <c r="L228">
        <v>1</v>
      </c>
      <c r="M228">
        <v>300</v>
      </c>
      <c r="N228">
        <v>300</v>
      </c>
      <c r="O228">
        <v>1</v>
      </c>
      <c r="P228">
        <v>300</v>
      </c>
      <c r="Q228">
        <v>300</v>
      </c>
      <c r="R228">
        <v>1</v>
      </c>
      <c r="S228">
        <v>1500000</v>
      </c>
      <c r="T228" t="s">
        <v>112</v>
      </c>
      <c r="U228" t="s">
        <v>112</v>
      </c>
      <c r="W228">
        <v>5000</v>
      </c>
      <c r="X228" t="b">
        <v>0</v>
      </c>
    </row>
    <row r="229" spans="1:24" x14ac:dyDescent="0.25">
      <c r="A229">
        <v>228</v>
      </c>
      <c r="B229" t="s">
        <v>472</v>
      </c>
      <c r="C229">
        <v>5</v>
      </c>
      <c r="D229">
        <v>50</v>
      </c>
      <c r="E229">
        <v>99</v>
      </c>
      <c r="F229">
        <v>0</v>
      </c>
      <c r="G229" t="s">
        <v>112</v>
      </c>
      <c r="H229">
        <v>2</v>
      </c>
      <c r="I229" t="s">
        <v>112</v>
      </c>
      <c r="J229">
        <v>1000</v>
      </c>
      <c r="K229">
        <v>4500</v>
      </c>
      <c r="L229">
        <v>1.5</v>
      </c>
      <c r="M229">
        <v>500</v>
      </c>
      <c r="N229">
        <v>1200</v>
      </c>
      <c r="O229">
        <v>1.5</v>
      </c>
      <c r="P229">
        <v>50</v>
      </c>
      <c r="Q229">
        <v>200</v>
      </c>
      <c r="R229">
        <v>1.5</v>
      </c>
      <c r="S229">
        <v>4000000</v>
      </c>
      <c r="T229" t="s">
        <v>474</v>
      </c>
      <c r="U229" t="s">
        <v>192</v>
      </c>
      <c r="V229" t="s">
        <v>473</v>
      </c>
      <c r="W229">
        <v>2062.5</v>
      </c>
      <c r="X229" t="b">
        <v>0</v>
      </c>
    </row>
    <row r="230" spans="1:24" x14ac:dyDescent="0.25">
      <c r="A230">
        <v>229</v>
      </c>
      <c r="B230" t="s">
        <v>475</v>
      </c>
      <c r="C230">
        <v>5</v>
      </c>
      <c r="D230">
        <v>14</v>
      </c>
      <c r="E230">
        <v>99</v>
      </c>
      <c r="F230">
        <v>0</v>
      </c>
      <c r="G230" t="s">
        <v>112</v>
      </c>
      <c r="H230">
        <v>1</v>
      </c>
      <c r="I230" t="s">
        <v>112</v>
      </c>
      <c r="J230">
        <v>1064</v>
      </c>
      <c r="K230">
        <v>2234</v>
      </c>
      <c r="L230">
        <v>1</v>
      </c>
      <c r="M230">
        <v>782</v>
      </c>
      <c r="N230">
        <v>1173</v>
      </c>
      <c r="O230">
        <v>1</v>
      </c>
      <c r="P230">
        <v>259</v>
      </c>
      <c r="Q230">
        <v>389</v>
      </c>
      <c r="R230">
        <v>1</v>
      </c>
      <c r="S230">
        <v>3000000</v>
      </c>
      <c r="T230" t="s">
        <v>477</v>
      </c>
      <c r="U230" t="s">
        <v>267</v>
      </c>
      <c r="V230" t="s">
        <v>476</v>
      </c>
      <c r="W230">
        <v>712.5</v>
      </c>
      <c r="X230" t="b">
        <v>0</v>
      </c>
    </row>
    <row r="231" spans="1:24" x14ac:dyDescent="0.25">
      <c r="A231">
        <v>230</v>
      </c>
      <c r="B231" t="s">
        <v>478</v>
      </c>
      <c r="C231">
        <v>5</v>
      </c>
      <c r="D231">
        <v>14</v>
      </c>
      <c r="E231">
        <v>99</v>
      </c>
      <c r="F231">
        <v>1</v>
      </c>
      <c r="G231" t="s">
        <v>112</v>
      </c>
      <c r="H231">
        <v>1</v>
      </c>
      <c r="I231" t="s">
        <v>112</v>
      </c>
      <c r="J231">
        <v>970</v>
      </c>
      <c r="K231">
        <v>2037</v>
      </c>
      <c r="L231">
        <v>1</v>
      </c>
      <c r="M231">
        <v>835</v>
      </c>
      <c r="N231">
        <v>1253</v>
      </c>
      <c r="O231">
        <v>1</v>
      </c>
      <c r="P231">
        <v>217</v>
      </c>
      <c r="Q231">
        <v>326</v>
      </c>
      <c r="R231">
        <v>1</v>
      </c>
      <c r="S231">
        <v>3000000</v>
      </c>
      <c r="T231" t="s">
        <v>480</v>
      </c>
      <c r="U231" t="s">
        <v>270</v>
      </c>
      <c r="V231" t="s">
        <v>479</v>
      </c>
      <c r="W231">
        <v>712.5</v>
      </c>
      <c r="X231" t="b">
        <v>0</v>
      </c>
    </row>
    <row r="232" spans="1:24" x14ac:dyDescent="0.25">
      <c r="A232">
        <v>231</v>
      </c>
      <c r="B232" t="s">
        <v>481</v>
      </c>
      <c r="C232">
        <v>5</v>
      </c>
      <c r="D232">
        <v>14</v>
      </c>
      <c r="E232">
        <v>99</v>
      </c>
      <c r="F232">
        <v>2</v>
      </c>
      <c r="G232" t="s">
        <v>112</v>
      </c>
      <c r="H232">
        <v>4</v>
      </c>
      <c r="I232" t="s">
        <v>112</v>
      </c>
      <c r="J232">
        <v>1018</v>
      </c>
      <c r="K232">
        <v>2138</v>
      </c>
      <c r="L232">
        <v>1</v>
      </c>
      <c r="M232">
        <v>808</v>
      </c>
      <c r="N232">
        <v>1212</v>
      </c>
      <c r="O232">
        <v>1</v>
      </c>
      <c r="P232">
        <v>224</v>
      </c>
      <c r="Q232">
        <v>336</v>
      </c>
      <c r="R232">
        <v>1</v>
      </c>
      <c r="S232">
        <v>3000000</v>
      </c>
      <c r="T232" t="s">
        <v>483</v>
      </c>
      <c r="U232" t="s">
        <v>273</v>
      </c>
      <c r="V232" t="s">
        <v>482</v>
      </c>
      <c r="W232">
        <v>712.5</v>
      </c>
      <c r="X232" t="b">
        <v>0</v>
      </c>
    </row>
    <row r="233" spans="1:24" x14ac:dyDescent="0.25">
      <c r="A233">
        <v>232</v>
      </c>
      <c r="B233" t="s">
        <v>484</v>
      </c>
      <c r="C233">
        <v>5</v>
      </c>
      <c r="D233">
        <v>14</v>
      </c>
      <c r="E233">
        <v>99</v>
      </c>
      <c r="F233">
        <v>3</v>
      </c>
      <c r="G233" t="s">
        <v>112</v>
      </c>
      <c r="H233">
        <v>5</v>
      </c>
      <c r="I233">
        <v>1</v>
      </c>
      <c r="J233">
        <v>990</v>
      </c>
      <c r="K233">
        <v>2079</v>
      </c>
      <c r="L233">
        <v>1</v>
      </c>
      <c r="M233">
        <v>798</v>
      </c>
      <c r="N233">
        <v>1197</v>
      </c>
      <c r="O233">
        <v>1</v>
      </c>
      <c r="P233">
        <v>252</v>
      </c>
      <c r="Q233">
        <v>378</v>
      </c>
      <c r="R233">
        <v>1</v>
      </c>
      <c r="S233">
        <v>3000000</v>
      </c>
      <c r="T233" t="s">
        <v>486</v>
      </c>
      <c r="U233" t="s">
        <v>276</v>
      </c>
      <c r="V233" t="s">
        <v>485</v>
      </c>
      <c r="W233">
        <v>712.5</v>
      </c>
      <c r="X233" t="b">
        <v>0</v>
      </c>
    </row>
    <row r="234" spans="1:24" x14ac:dyDescent="0.25">
      <c r="A234">
        <v>233</v>
      </c>
      <c r="B234" t="s">
        <v>487</v>
      </c>
      <c r="C234">
        <v>5</v>
      </c>
      <c r="D234">
        <v>14</v>
      </c>
      <c r="E234">
        <v>99</v>
      </c>
      <c r="F234">
        <v>4</v>
      </c>
      <c r="G234" t="s">
        <v>112</v>
      </c>
      <c r="H234">
        <v>4</v>
      </c>
      <c r="I234" t="s">
        <v>112</v>
      </c>
      <c r="J234">
        <v>1046</v>
      </c>
      <c r="K234">
        <v>2197</v>
      </c>
      <c r="L234">
        <v>1</v>
      </c>
      <c r="M234">
        <v>824</v>
      </c>
      <c r="N234">
        <v>1236</v>
      </c>
      <c r="O234">
        <v>1</v>
      </c>
      <c r="P234">
        <v>210</v>
      </c>
      <c r="Q234">
        <v>315</v>
      </c>
      <c r="R234">
        <v>1</v>
      </c>
      <c r="S234">
        <v>3000000</v>
      </c>
      <c r="T234" t="s">
        <v>489</v>
      </c>
      <c r="U234" t="s">
        <v>281</v>
      </c>
      <c r="V234" t="s">
        <v>488</v>
      </c>
      <c r="W234">
        <v>712.5</v>
      </c>
      <c r="X234" t="b">
        <v>0</v>
      </c>
    </row>
    <row r="235" spans="1:24" x14ac:dyDescent="0.25">
      <c r="A235">
        <v>234</v>
      </c>
      <c r="B235" t="s">
        <v>490</v>
      </c>
      <c r="C235">
        <v>5</v>
      </c>
      <c r="D235">
        <v>1</v>
      </c>
      <c r="E235">
        <v>1</v>
      </c>
      <c r="F235">
        <v>3</v>
      </c>
      <c r="G235" t="s">
        <v>112</v>
      </c>
      <c r="H235">
        <v>0</v>
      </c>
      <c r="I235" t="s">
        <v>112</v>
      </c>
      <c r="J235">
        <v>300</v>
      </c>
      <c r="K235">
        <v>300</v>
      </c>
      <c r="L235">
        <v>1</v>
      </c>
      <c r="M235">
        <v>300</v>
      </c>
      <c r="N235">
        <v>300</v>
      </c>
      <c r="O235">
        <v>1</v>
      </c>
      <c r="P235">
        <v>300</v>
      </c>
      <c r="Q235">
        <v>300</v>
      </c>
      <c r="R235">
        <v>1</v>
      </c>
      <c r="S235">
        <v>2000000</v>
      </c>
      <c r="T235" t="s">
        <v>112</v>
      </c>
      <c r="U235" t="s">
        <v>112</v>
      </c>
      <c r="W235">
        <v>10000</v>
      </c>
      <c r="X235" t="b">
        <v>0</v>
      </c>
    </row>
    <row r="236" spans="1:24" x14ac:dyDescent="0.25">
      <c r="A236">
        <v>235</v>
      </c>
      <c r="B236" t="s">
        <v>1835</v>
      </c>
      <c r="C236">
        <v>5</v>
      </c>
      <c r="D236">
        <v>1</v>
      </c>
      <c r="E236">
        <v>1</v>
      </c>
      <c r="F236">
        <v>3</v>
      </c>
      <c r="G236" t="s">
        <v>112</v>
      </c>
      <c r="H236">
        <v>14</v>
      </c>
      <c r="I236" t="s">
        <v>112</v>
      </c>
      <c r="J236">
        <v>832</v>
      </c>
      <c r="K236">
        <v>832</v>
      </c>
      <c r="L236">
        <v>1</v>
      </c>
      <c r="M236">
        <v>832</v>
      </c>
      <c r="N236">
        <v>832</v>
      </c>
      <c r="O236">
        <v>1</v>
      </c>
      <c r="P236">
        <v>832</v>
      </c>
      <c r="Q236">
        <v>832</v>
      </c>
      <c r="R236">
        <v>1</v>
      </c>
      <c r="S236">
        <v>2000000</v>
      </c>
      <c r="T236" t="s">
        <v>1836</v>
      </c>
      <c r="U236" t="s">
        <v>1837</v>
      </c>
      <c r="W236">
        <v>83200</v>
      </c>
      <c r="X236" t="b">
        <v>1</v>
      </c>
    </row>
    <row r="237" spans="1:24" x14ac:dyDescent="0.25">
      <c r="A237">
        <v>236</v>
      </c>
      <c r="B237" t="s">
        <v>491</v>
      </c>
      <c r="C237">
        <v>5</v>
      </c>
      <c r="D237">
        <v>20</v>
      </c>
      <c r="E237">
        <v>50</v>
      </c>
      <c r="F237">
        <v>0</v>
      </c>
      <c r="G237" t="s">
        <v>112</v>
      </c>
      <c r="H237">
        <v>5</v>
      </c>
      <c r="I237" t="s">
        <v>112</v>
      </c>
      <c r="J237">
        <v>826</v>
      </c>
      <c r="K237">
        <v>1982</v>
      </c>
      <c r="L237">
        <v>1.5</v>
      </c>
      <c r="M237">
        <v>512</v>
      </c>
      <c r="N237">
        <v>1075</v>
      </c>
      <c r="O237">
        <v>1.5</v>
      </c>
      <c r="P237">
        <v>44</v>
      </c>
      <c r="Q237">
        <v>92</v>
      </c>
      <c r="R237">
        <v>1.5</v>
      </c>
      <c r="S237">
        <v>4000000</v>
      </c>
      <c r="T237" t="s">
        <v>492</v>
      </c>
      <c r="U237" t="s">
        <v>2167</v>
      </c>
      <c r="W237">
        <v>625</v>
      </c>
      <c r="X237" t="b">
        <v>0</v>
      </c>
    </row>
    <row r="238" spans="1:24" x14ac:dyDescent="0.25">
      <c r="A238">
        <v>237</v>
      </c>
      <c r="B238" t="s">
        <v>493</v>
      </c>
      <c r="C238">
        <v>6</v>
      </c>
      <c r="D238">
        <v>25</v>
      </c>
      <c r="E238">
        <v>99</v>
      </c>
      <c r="F238">
        <v>0</v>
      </c>
      <c r="G238" t="s">
        <v>112</v>
      </c>
      <c r="H238">
        <v>5</v>
      </c>
      <c r="I238" t="s">
        <v>112</v>
      </c>
      <c r="J238">
        <v>1586</v>
      </c>
      <c r="K238">
        <v>3331</v>
      </c>
      <c r="L238">
        <v>1.5</v>
      </c>
      <c r="M238">
        <v>968</v>
      </c>
      <c r="N238">
        <v>1452</v>
      </c>
      <c r="O238">
        <v>1.5</v>
      </c>
      <c r="P238">
        <v>83</v>
      </c>
      <c r="Q238">
        <v>125</v>
      </c>
      <c r="R238">
        <v>1.5</v>
      </c>
      <c r="S238">
        <v>4000000</v>
      </c>
      <c r="T238" t="s">
        <v>494</v>
      </c>
      <c r="U238" t="s">
        <v>2167</v>
      </c>
      <c r="V238" t="s">
        <v>1733</v>
      </c>
      <c r="W238">
        <v>1162.5</v>
      </c>
      <c r="X238" t="b">
        <v>0</v>
      </c>
    </row>
    <row r="239" spans="1:24" x14ac:dyDescent="0.25">
      <c r="A239">
        <v>238</v>
      </c>
      <c r="B239" t="s">
        <v>495</v>
      </c>
      <c r="C239">
        <v>5</v>
      </c>
      <c r="D239">
        <v>20</v>
      </c>
      <c r="E239">
        <v>50</v>
      </c>
      <c r="F239">
        <v>1</v>
      </c>
      <c r="G239" t="s">
        <v>112</v>
      </c>
      <c r="H239">
        <v>5</v>
      </c>
      <c r="I239" t="s">
        <v>112</v>
      </c>
      <c r="J239">
        <v>623</v>
      </c>
      <c r="K239">
        <v>1308</v>
      </c>
      <c r="L239">
        <v>1.5</v>
      </c>
      <c r="M239">
        <v>436</v>
      </c>
      <c r="N239">
        <v>916</v>
      </c>
      <c r="O239">
        <v>1.5</v>
      </c>
      <c r="P239">
        <v>233</v>
      </c>
      <c r="Q239">
        <v>489</v>
      </c>
      <c r="R239">
        <v>1.5</v>
      </c>
      <c r="S239">
        <v>4000000</v>
      </c>
      <c r="T239" t="s">
        <v>496</v>
      </c>
      <c r="U239" t="s">
        <v>497</v>
      </c>
      <c r="W239">
        <v>625</v>
      </c>
      <c r="X239" t="b">
        <v>0</v>
      </c>
    </row>
    <row r="240" spans="1:24" x14ac:dyDescent="0.25">
      <c r="A240">
        <v>239</v>
      </c>
      <c r="B240" t="s">
        <v>498</v>
      </c>
      <c r="C240">
        <v>6</v>
      </c>
      <c r="D240">
        <v>25</v>
      </c>
      <c r="E240">
        <v>99</v>
      </c>
      <c r="F240">
        <v>1</v>
      </c>
      <c r="G240" t="s">
        <v>112</v>
      </c>
      <c r="H240">
        <v>5</v>
      </c>
      <c r="I240" t="s">
        <v>112</v>
      </c>
      <c r="J240">
        <v>1046</v>
      </c>
      <c r="K240">
        <v>2197</v>
      </c>
      <c r="L240">
        <v>1.5</v>
      </c>
      <c r="M240">
        <v>824</v>
      </c>
      <c r="N240">
        <v>1236</v>
      </c>
      <c r="O240">
        <v>1.5</v>
      </c>
      <c r="P240">
        <v>440</v>
      </c>
      <c r="Q240">
        <v>660</v>
      </c>
      <c r="R240">
        <v>1.5</v>
      </c>
      <c r="S240">
        <v>4000000</v>
      </c>
      <c r="T240" t="s">
        <v>499</v>
      </c>
      <c r="U240" t="s">
        <v>497</v>
      </c>
      <c r="V240" t="s">
        <v>1734</v>
      </c>
      <c r="W240">
        <v>1162.5</v>
      </c>
      <c r="X240" t="b">
        <v>0</v>
      </c>
    </row>
    <row r="241" spans="1:24" x14ac:dyDescent="0.25">
      <c r="A241">
        <v>240</v>
      </c>
      <c r="B241" t="s">
        <v>84</v>
      </c>
      <c r="C241">
        <v>5</v>
      </c>
      <c r="D241">
        <v>20</v>
      </c>
      <c r="E241">
        <v>50</v>
      </c>
      <c r="F241">
        <v>2</v>
      </c>
      <c r="G241" t="s">
        <v>112</v>
      </c>
      <c r="H241">
        <v>5</v>
      </c>
      <c r="I241" t="s">
        <v>112</v>
      </c>
      <c r="J241">
        <v>777</v>
      </c>
      <c r="K241">
        <v>1632</v>
      </c>
      <c r="L241">
        <v>1.5</v>
      </c>
      <c r="M241">
        <v>478</v>
      </c>
      <c r="N241">
        <v>1004</v>
      </c>
      <c r="O241">
        <v>1.5</v>
      </c>
      <c r="P241">
        <v>156</v>
      </c>
      <c r="Q241">
        <v>328</v>
      </c>
      <c r="R241">
        <v>1.5</v>
      </c>
      <c r="S241">
        <v>4000000</v>
      </c>
      <c r="T241" t="s">
        <v>500</v>
      </c>
      <c r="U241" t="s">
        <v>501</v>
      </c>
      <c r="W241">
        <v>625</v>
      </c>
      <c r="X241" t="b">
        <v>0</v>
      </c>
    </row>
    <row r="242" spans="1:24" x14ac:dyDescent="0.25">
      <c r="A242">
        <v>241</v>
      </c>
      <c r="B242" t="s">
        <v>502</v>
      </c>
      <c r="C242">
        <v>6</v>
      </c>
      <c r="D242">
        <v>25</v>
      </c>
      <c r="E242">
        <v>99</v>
      </c>
      <c r="F242">
        <v>2</v>
      </c>
      <c r="G242" t="s">
        <v>112</v>
      </c>
      <c r="H242">
        <v>5</v>
      </c>
      <c r="I242" t="s">
        <v>112</v>
      </c>
      <c r="J242">
        <v>1306</v>
      </c>
      <c r="K242">
        <v>2743</v>
      </c>
      <c r="L242">
        <v>1.5</v>
      </c>
      <c r="M242">
        <v>904</v>
      </c>
      <c r="N242">
        <v>1356</v>
      </c>
      <c r="O242">
        <v>1.5</v>
      </c>
      <c r="P242">
        <v>295</v>
      </c>
      <c r="Q242">
        <v>443</v>
      </c>
      <c r="R242">
        <v>1.5</v>
      </c>
      <c r="S242">
        <v>4000000</v>
      </c>
      <c r="T242" t="s">
        <v>503</v>
      </c>
      <c r="U242" t="s">
        <v>501</v>
      </c>
      <c r="V242" t="s">
        <v>1736</v>
      </c>
      <c r="W242">
        <v>1162.5</v>
      </c>
      <c r="X242" t="b">
        <v>0</v>
      </c>
    </row>
    <row r="243" spans="1:24" x14ac:dyDescent="0.25">
      <c r="A243">
        <v>242</v>
      </c>
      <c r="B243" t="s">
        <v>504</v>
      </c>
      <c r="C243">
        <v>5</v>
      </c>
      <c r="D243">
        <v>20</v>
      </c>
      <c r="E243">
        <v>50</v>
      </c>
      <c r="F243">
        <v>3</v>
      </c>
      <c r="G243" t="s">
        <v>112</v>
      </c>
      <c r="H243">
        <v>5</v>
      </c>
      <c r="I243" t="s">
        <v>112</v>
      </c>
      <c r="J243">
        <v>856</v>
      </c>
      <c r="K243">
        <v>2054</v>
      </c>
      <c r="L243">
        <v>1.5</v>
      </c>
      <c r="M243">
        <v>482</v>
      </c>
      <c r="N243">
        <v>1012</v>
      </c>
      <c r="O243">
        <v>1.5</v>
      </c>
      <c r="P243">
        <v>77</v>
      </c>
      <c r="Q243">
        <v>162</v>
      </c>
      <c r="R243">
        <v>1.5</v>
      </c>
      <c r="S243">
        <v>4000000</v>
      </c>
      <c r="T243" t="s">
        <v>505</v>
      </c>
      <c r="U243" t="s">
        <v>506</v>
      </c>
      <c r="W243">
        <v>625</v>
      </c>
      <c r="X243" t="b">
        <v>0</v>
      </c>
    </row>
    <row r="244" spans="1:24" x14ac:dyDescent="0.25">
      <c r="A244">
        <v>243</v>
      </c>
      <c r="B244" t="s">
        <v>507</v>
      </c>
      <c r="C244">
        <v>6</v>
      </c>
      <c r="D244">
        <v>25</v>
      </c>
      <c r="E244">
        <v>99</v>
      </c>
      <c r="F244">
        <v>3</v>
      </c>
      <c r="G244" t="s">
        <v>112</v>
      </c>
      <c r="H244">
        <v>5</v>
      </c>
      <c r="I244" t="s">
        <v>112</v>
      </c>
      <c r="J244">
        <v>1643</v>
      </c>
      <c r="K244">
        <v>3450</v>
      </c>
      <c r="L244">
        <v>1.5</v>
      </c>
      <c r="M244">
        <v>911</v>
      </c>
      <c r="N244">
        <v>1367</v>
      </c>
      <c r="O244">
        <v>1.5</v>
      </c>
      <c r="P244">
        <v>146</v>
      </c>
      <c r="Q244">
        <v>219</v>
      </c>
      <c r="R244">
        <v>1.5</v>
      </c>
      <c r="S244">
        <v>4000000</v>
      </c>
      <c r="T244" t="s">
        <v>508</v>
      </c>
      <c r="U244" t="s">
        <v>506</v>
      </c>
      <c r="V244" t="s">
        <v>2168</v>
      </c>
      <c r="W244">
        <v>1162.5</v>
      </c>
      <c r="X244" t="b">
        <v>0</v>
      </c>
    </row>
    <row r="245" spans="1:24" x14ac:dyDescent="0.25">
      <c r="A245">
        <v>244</v>
      </c>
      <c r="B245" t="s">
        <v>509</v>
      </c>
      <c r="C245">
        <v>5</v>
      </c>
      <c r="D245">
        <v>20</v>
      </c>
      <c r="E245">
        <v>50</v>
      </c>
      <c r="F245">
        <v>4</v>
      </c>
      <c r="G245" t="s">
        <v>112</v>
      </c>
      <c r="H245">
        <v>5</v>
      </c>
      <c r="I245" t="s">
        <v>112</v>
      </c>
      <c r="J245">
        <v>909</v>
      </c>
      <c r="K245">
        <v>2182</v>
      </c>
      <c r="L245">
        <v>1.5</v>
      </c>
      <c r="M245">
        <v>467</v>
      </c>
      <c r="N245">
        <v>981</v>
      </c>
      <c r="O245">
        <v>1.5</v>
      </c>
      <c r="P245">
        <v>39</v>
      </c>
      <c r="Q245">
        <v>82</v>
      </c>
      <c r="R245">
        <v>1.5</v>
      </c>
      <c r="S245">
        <v>4000000</v>
      </c>
      <c r="T245" t="s">
        <v>510</v>
      </c>
      <c r="U245" t="s">
        <v>511</v>
      </c>
      <c r="W245">
        <v>625</v>
      </c>
      <c r="X245" t="b">
        <v>0</v>
      </c>
    </row>
    <row r="246" spans="1:24" x14ac:dyDescent="0.25">
      <c r="A246">
        <v>245</v>
      </c>
      <c r="B246" t="s">
        <v>512</v>
      </c>
      <c r="C246">
        <v>6</v>
      </c>
      <c r="D246">
        <v>25</v>
      </c>
      <c r="E246">
        <v>99</v>
      </c>
      <c r="F246">
        <v>4</v>
      </c>
      <c r="G246" t="s">
        <v>112</v>
      </c>
      <c r="H246">
        <v>5</v>
      </c>
      <c r="I246" t="s">
        <v>112</v>
      </c>
      <c r="J246">
        <v>1746</v>
      </c>
      <c r="K246">
        <v>3667</v>
      </c>
      <c r="L246">
        <v>1.5</v>
      </c>
      <c r="M246">
        <v>883</v>
      </c>
      <c r="N246">
        <v>1325</v>
      </c>
      <c r="O246">
        <v>1.5</v>
      </c>
      <c r="P246">
        <v>74</v>
      </c>
      <c r="Q246">
        <v>111</v>
      </c>
      <c r="R246">
        <v>1.5</v>
      </c>
      <c r="S246">
        <v>4000000</v>
      </c>
      <c r="T246" t="s">
        <v>513</v>
      </c>
      <c r="U246" t="s">
        <v>511</v>
      </c>
      <c r="V246" t="s">
        <v>2169</v>
      </c>
      <c r="W246">
        <v>1162.5</v>
      </c>
      <c r="X246" t="b">
        <v>0</v>
      </c>
    </row>
    <row r="247" spans="1:24" x14ac:dyDescent="0.25">
      <c r="A247">
        <v>246</v>
      </c>
      <c r="B247" t="s">
        <v>514</v>
      </c>
      <c r="C247">
        <v>5</v>
      </c>
      <c r="D247">
        <v>1</v>
      </c>
      <c r="E247">
        <v>1</v>
      </c>
      <c r="F247">
        <v>0</v>
      </c>
      <c r="G247" t="s">
        <v>112</v>
      </c>
      <c r="H247">
        <v>0</v>
      </c>
      <c r="I247" t="s">
        <v>112</v>
      </c>
      <c r="J247">
        <v>500</v>
      </c>
      <c r="K247">
        <v>500</v>
      </c>
      <c r="L247">
        <v>1</v>
      </c>
      <c r="M247">
        <v>500</v>
      </c>
      <c r="N247">
        <v>500</v>
      </c>
      <c r="O247">
        <v>1</v>
      </c>
      <c r="P247">
        <v>200</v>
      </c>
      <c r="Q247">
        <v>200</v>
      </c>
      <c r="R247">
        <v>1</v>
      </c>
      <c r="S247">
        <v>2000000</v>
      </c>
      <c r="T247" t="s">
        <v>112</v>
      </c>
      <c r="U247" t="s">
        <v>112</v>
      </c>
      <c r="W247">
        <v>2000</v>
      </c>
      <c r="X247" t="b">
        <v>0</v>
      </c>
    </row>
    <row r="248" spans="1:24" x14ac:dyDescent="0.25">
      <c r="A248">
        <v>247</v>
      </c>
      <c r="B248" t="s">
        <v>515</v>
      </c>
      <c r="C248">
        <v>5</v>
      </c>
      <c r="D248">
        <v>1</v>
      </c>
      <c r="E248">
        <v>1</v>
      </c>
      <c r="F248">
        <v>1</v>
      </c>
      <c r="G248" t="s">
        <v>112</v>
      </c>
      <c r="H248">
        <v>0</v>
      </c>
      <c r="I248" t="s">
        <v>112</v>
      </c>
      <c r="J248">
        <v>500</v>
      </c>
      <c r="K248">
        <v>500</v>
      </c>
      <c r="L248">
        <v>1</v>
      </c>
      <c r="M248">
        <v>500</v>
      </c>
      <c r="N248">
        <v>500</v>
      </c>
      <c r="O248">
        <v>1</v>
      </c>
      <c r="P248">
        <v>200</v>
      </c>
      <c r="Q248">
        <v>200</v>
      </c>
      <c r="R248">
        <v>1</v>
      </c>
      <c r="S248">
        <v>2000000</v>
      </c>
      <c r="T248" t="s">
        <v>112</v>
      </c>
      <c r="U248" t="s">
        <v>112</v>
      </c>
      <c r="W248">
        <v>2000</v>
      </c>
      <c r="X248" t="b">
        <v>0</v>
      </c>
    </row>
    <row r="249" spans="1:24" x14ac:dyDescent="0.25">
      <c r="A249">
        <v>248</v>
      </c>
      <c r="B249" t="s">
        <v>516</v>
      </c>
      <c r="C249">
        <v>5</v>
      </c>
      <c r="D249">
        <v>1</v>
      </c>
      <c r="E249">
        <v>1</v>
      </c>
      <c r="F249">
        <v>2</v>
      </c>
      <c r="G249" t="s">
        <v>112</v>
      </c>
      <c r="H249">
        <v>0</v>
      </c>
      <c r="I249" t="s">
        <v>112</v>
      </c>
      <c r="J249">
        <v>500</v>
      </c>
      <c r="K249">
        <v>500</v>
      </c>
      <c r="L249">
        <v>1</v>
      </c>
      <c r="M249">
        <v>500</v>
      </c>
      <c r="N249">
        <v>500</v>
      </c>
      <c r="O249">
        <v>1</v>
      </c>
      <c r="P249">
        <v>200</v>
      </c>
      <c r="Q249">
        <v>200</v>
      </c>
      <c r="R249">
        <v>1</v>
      </c>
      <c r="S249">
        <v>2000000</v>
      </c>
      <c r="T249" t="s">
        <v>112</v>
      </c>
      <c r="U249" t="s">
        <v>112</v>
      </c>
      <c r="W249">
        <v>2000</v>
      </c>
      <c r="X249" t="b">
        <v>0</v>
      </c>
    </row>
    <row r="250" spans="1:24" x14ac:dyDescent="0.25">
      <c r="A250">
        <v>249</v>
      </c>
      <c r="B250" t="s">
        <v>517</v>
      </c>
      <c r="C250">
        <v>5</v>
      </c>
      <c r="D250">
        <v>1</v>
      </c>
      <c r="E250">
        <v>1</v>
      </c>
      <c r="F250">
        <v>3</v>
      </c>
      <c r="G250" t="s">
        <v>112</v>
      </c>
      <c r="H250">
        <v>0</v>
      </c>
      <c r="I250" t="s">
        <v>112</v>
      </c>
      <c r="J250">
        <v>500</v>
      </c>
      <c r="K250">
        <v>500</v>
      </c>
      <c r="L250">
        <v>1</v>
      </c>
      <c r="M250">
        <v>500</v>
      </c>
      <c r="N250">
        <v>500</v>
      </c>
      <c r="O250">
        <v>1</v>
      </c>
      <c r="P250">
        <v>200</v>
      </c>
      <c r="Q250">
        <v>200</v>
      </c>
      <c r="R250">
        <v>1</v>
      </c>
      <c r="S250">
        <v>2000000</v>
      </c>
      <c r="T250" t="s">
        <v>112</v>
      </c>
      <c r="U250" t="s">
        <v>112</v>
      </c>
      <c r="W250">
        <v>2000</v>
      </c>
      <c r="X250" t="b">
        <v>0</v>
      </c>
    </row>
    <row r="251" spans="1:24" x14ac:dyDescent="0.25">
      <c r="A251">
        <v>250</v>
      </c>
      <c r="B251" t="s">
        <v>518</v>
      </c>
      <c r="C251">
        <v>5</v>
      </c>
      <c r="D251">
        <v>1</v>
      </c>
      <c r="E251">
        <v>1</v>
      </c>
      <c r="F251">
        <v>4</v>
      </c>
      <c r="G251" t="s">
        <v>112</v>
      </c>
      <c r="H251">
        <v>0</v>
      </c>
      <c r="I251" t="s">
        <v>112</v>
      </c>
      <c r="J251">
        <v>500</v>
      </c>
      <c r="K251">
        <v>500</v>
      </c>
      <c r="L251">
        <v>1</v>
      </c>
      <c r="M251">
        <v>500</v>
      </c>
      <c r="N251">
        <v>500</v>
      </c>
      <c r="O251">
        <v>1</v>
      </c>
      <c r="P251">
        <v>200</v>
      </c>
      <c r="Q251">
        <v>200</v>
      </c>
      <c r="R251">
        <v>1</v>
      </c>
      <c r="S251">
        <v>2000000</v>
      </c>
      <c r="T251" t="s">
        <v>112</v>
      </c>
      <c r="U251" t="s">
        <v>112</v>
      </c>
      <c r="W251">
        <v>2000</v>
      </c>
      <c r="X251" t="b">
        <v>0</v>
      </c>
    </row>
    <row r="252" spans="1:24" x14ac:dyDescent="0.25">
      <c r="A252">
        <v>251</v>
      </c>
      <c r="B252" t="s">
        <v>519</v>
      </c>
      <c r="C252">
        <v>6</v>
      </c>
      <c r="D252">
        <v>1</v>
      </c>
      <c r="E252">
        <v>1</v>
      </c>
      <c r="F252">
        <v>4</v>
      </c>
      <c r="G252" t="s">
        <v>112</v>
      </c>
      <c r="H252">
        <v>0</v>
      </c>
      <c r="I252" t="s">
        <v>112</v>
      </c>
      <c r="J252">
        <v>1000</v>
      </c>
      <c r="K252">
        <v>1000</v>
      </c>
      <c r="L252">
        <v>1</v>
      </c>
      <c r="M252">
        <v>800</v>
      </c>
      <c r="N252">
        <v>800</v>
      </c>
      <c r="O252">
        <v>1</v>
      </c>
      <c r="P252">
        <v>300</v>
      </c>
      <c r="Q252">
        <v>300</v>
      </c>
      <c r="R252">
        <v>1</v>
      </c>
      <c r="S252">
        <v>2000000</v>
      </c>
      <c r="T252" t="s">
        <v>112</v>
      </c>
      <c r="U252" t="s">
        <v>112</v>
      </c>
      <c r="W252">
        <v>10000</v>
      </c>
      <c r="X252" t="b">
        <v>0</v>
      </c>
    </row>
    <row r="253" spans="1:24" x14ac:dyDescent="0.25">
      <c r="A253">
        <v>252</v>
      </c>
      <c r="B253" t="s">
        <v>520</v>
      </c>
      <c r="C253">
        <v>3</v>
      </c>
      <c r="D253">
        <v>1</v>
      </c>
      <c r="E253">
        <v>1</v>
      </c>
      <c r="F253">
        <v>0</v>
      </c>
      <c r="G253" t="s">
        <v>112</v>
      </c>
      <c r="H253">
        <v>14</v>
      </c>
      <c r="I253" t="s">
        <v>112</v>
      </c>
      <c r="J253">
        <v>100</v>
      </c>
      <c r="K253">
        <v>100</v>
      </c>
      <c r="L253">
        <v>1</v>
      </c>
      <c r="M253">
        <v>20</v>
      </c>
      <c r="N253">
        <v>20</v>
      </c>
      <c r="O253">
        <v>1</v>
      </c>
      <c r="P253">
        <v>5</v>
      </c>
      <c r="Q253">
        <v>5</v>
      </c>
      <c r="R253">
        <v>1</v>
      </c>
      <c r="S253">
        <v>1500000</v>
      </c>
      <c r="T253" t="s">
        <v>112</v>
      </c>
      <c r="U253" t="s">
        <v>112</v>
      </c>
      <c r="W253">
        <v>2000</v>
      </c>
      <c r="X253" t="b">
        <v>0</v>
      </c>
    </row>
    <row r="254" spans="1:24" x14ac:dyDescent="0.25">
      <c r="A254">
        <v>253</v>
      </c>
      <c r="B254" t="s">
        <v>521</v>
      </c>
      <c r="C254">
        <v>4</v>
      </c>
      <c r="D254">
        <v>1</v>
      </c>
      <c r="E254">
        <v>1</v>
      </c>
      <c r="F254">
        <v>0</v>
      </c>
      <c r="G254" t="s">
        <v>112</v>
      </c>
      <c r="H254">
        <v>14</v>
      </c>
      <c r="I254" t="s">
        <v>112</v>
      </c>
      <c r="J254">
        <v>250</v>
      </c>
      <c r="K254">
        <v>250</v>
      </c>
      <c r="L254">
        <v>1</v>
      </c>
      <c r="M254">
        <v>30</v>
      </c>
      <c r="N254">
        <v>30</v>
      </c>
      <c r="O254">
        <v>1</v>
      </c>
      <c r="P254">
        <v>10</v>
      </c>
      <c r="Q254">
        <v>10</v>
      </c>
      <c r="R254">
        <v>1</v>
      </c>
      <c r="S254">
        <v>1500000</v>
      </c>
      <c r="T254" t="s">
        <v>112</v>
      </c>
      <c r="U254" t="s">
        <v>112</v>
      </c>
      <c r="W254">
        <v>15000</v>
      </c>
      <c r="X254" t="b">
        <v>0</v>
      </c>
    </row>
    <row r="255" spans="1:24" x14ac:dyDescent="0.25">
      <c r="A255">
        <v>254</v>
      </c>
      <c r="B255" t="s">
        <v>522</v>
      </c>
      <c r="C255">
        <v>5</v>
      </c>
      <c r="D255">
        <v>1</v>
      </c>
      <c r="E255">
        <v>1</v>
      </c>
      <c r="F255">
        <v>0</v>
      </c>
      <c r="G255" t="s">
        <v>112</v>
      </c>
      <c r="H255">
        <v>14</v>
      </c>
      <c r="I255" t="s">
        <v>112</v>
      </c>
      <c r="J255">
        <v>500</v>
      </c>
      <c r="K255">
        <v>500</v>
      </c>
      <c r="L255">
        <v>1</v>
      </c>
      <c r="M255">
        <v>40</v>
      </c>
      <c r="N255">
        <v>40</v>
      </c>
      <c r="O255">
        <v>1</v>
      </c>
      <c r="P255">
        <v>15</v>
      </c>
      <c r="Q255">
        <v>15</v>
      </c>
      <c r="R255">
        <v>1</v>
      </c>
      <c r="S255">
        <v>1500000</v>
      </c>
      <c r="T255" t="s">
        <v>112</v>
      </c>
      <c r="U255" t="s">
        <v>112</v>
      </c>
      <c r="W255">
        <v>55000</v>
      </c>
      <c r="X255" t="b">
        <v>0</v>
      </c>
    </row>
    <row r="256" spans="1:24" x14ac:dyDescent="0.25">
      <c r="A256">
        <v>255</v>
      </c>
      <c r="B256" t="s">
        <v>523</v>
      </c>
      <c r="C256">
        <v>3</v>
      </c>
      <c r="D256">
        <v>1</v>
      </c>
      <c r="E256">
        <v>1</v>
      </c>
      <c r="F256">
        <v>1</v>
      </c>
      <c r="G256" t="s">
        <v>112</v>
      </c>
      <c r="H256">
        <v>14</v>
      </c>
      <c r="I256" t="s">
        <v>112</v>
      </c>
      <c r="J256">
        <v>100</v>
      </c>
      <c r="K256">
        <v>100</v>
      </c>
      <c r="L256">
        <v>1</v>
      </c>
      <c r="M256">
        <v>20</v>
      </c>
      <c r="N256">
        <v>20</v>
      </c>
      <c r="O256">
        <v>1</v>
      </c>
      <c r="P256">
        <v>5</v>
      </c>
      <c r="Q256">
        <v>5</v>
      </c>
      <c r="R256">
        <v>1</v>
      </c>
      <c r="S256">
        <v>1500000</v>
      </c>
      <c r="T256" t="s">
        <v>112</v>
      </c>
      <c r="U256" t="s">
        <v>112</v>
      </c>
      <c r="W256">
        <v>2000</v>
      </c>
      <c r="X256" t="b">
        <v>0</v>
      </c>
    </row>
    <row r="257" spans="1:24" x14ac:dyDescent="0.25">
      <c r="A257">
        <v>256</v>
      </c>
      <c r="B257" t="s">
        <v>524</v>
      </c>
      <c r="C257">
        <v>4</v>
      </c>
      <c r="D257">
        <v>1</v>
      </c>
      <c r="E257">
        <v>1</v>
      </c>
      <c r="F257">
        <v>1</v>
      </c>
      <c r="G257" t="s">
        <v>112</v>
      </c>
      <c r="H257">
        <v>14</v>
      </c>
      <c r="I257" t="s">
        <v>112</v>
      </c>
      <c r="J257">
        <v>250</v>
      </c>
      <c r="K257">
        <v>250</v>
      </c>
      <c r="L257">
        <v>1</v>
      </c>
      <c r="M257">
        <v>30</v>
      </c>
      <c r="N257">
        <v>30</v>
      </c>
      <c r="O257">
        <v>1</v>
      </c>
      <c r="P257">
        <v>10</v>
      </c>
      <c r="Q257">
        <v>10</v>
      </c>
      <c r="R257">
        <v>1</v>
      </c>
      <c r="S257">
        <v>1500000</v>
      </c>
      <c r="T257" t="s">
        <v>112</v>
      </c>
      <c r="U257" t="s">
        <v>112</v>
      </c>
      <c r="W257">
        <v>15000</v>
      </c>
      <c r="X257" t="b">
        <v>0</v>
      </c>
    </row>
    <row r="258" spans="1:24" x14ac:dyDescent="0.25">
      <c r="A258">
        <v>257</v>
      </c>
      <c r="B258" t="s">
        <v>525</v>
      </c>
      <c r="C258">
        <v>5</v>
      </c>
      <c r="D258">
        <v>1</v>
      </c>
      <c r="E258">
        <v>1</v>
      </c>
      <c r="F258">
        <v>1</v>
      </c>
      <c r="G258" t="s">
        <v>112</v>
      </c>
      <c r="H258">
        <v>14</v>
      </c>
      <c r="I258" t="s">
        <v>112</v>
      </c>
      <c r="J258">
        <v>500</v>
      </c>
      <c r="K258">
        <v>500</v>
      </c>
      <c r="L258">
        <v>1</v>
      </c>
      <c r="M258">
        <v>40</v>
      </c>
      <c r="N258">
        <v>40</v>
      </c>
      <c r="O258">
        <v>1</v>
      </c>
      <c r="P258">
        <v>15</v>
      </c>
      <c r="Q258">
        <v>15</v>
      </c>
      <c r="R258">
        <v>1</v>
      </c>
      <c r="S258">
        <v>1500000</v>
      </c>
      <c r="T258" t="s">
        <v>112</v>
      </c>
      <c r="U258" t="s">
        <v>112</v>
      </c>
      <c r="W258">
        <v>55000</v>
      </c>
      <c r="X258" t="b">
        <v>0</v>
      </c>
    </row>
    <row r="259" spans="1:24" x14ac:dyDescent="0.25">
      <c r="A259">
        <v>258</v>
      </c>
      <c r="B259" t="s">
        <v>526</v>
      </c>
      <c r="C259">
        <v>3</v>
      </c>
      <c r="D259">
        <v>1</v>
      </c>
      <c r="E259">
        <v>1</v>
      </c>
      <c r="F259">
        <v>2</v>
      </c>
      <c r="G259" t="s">
        <v>112</v>
      </c>
      <c r="H259">
        <v>14</v>
      </c>
      <c r="I259" t="s">
        <v>112</v>
      </c>
      <c r="J259">
        <v>100</v>
      </c>
      <c r="K259">
        <v>100</v>
      </c>
      <c r="L259">
        <v>1</v>
      </c>
      <c r="M259">
        <v>20</v>
      </c>
      <c r="N259">
        <v>20</v>
      </c>
      <c r="O259">
        <v>1</v>
      </c>
      <c r="P259">
        <v>5</v>
      </c>
      <c r="Q259">
        <v>5</v>
      </c>
      <c r="R259">
        <v>1</v>
      </c>
      <c r="S259">
        <v>1500000</v>
      </c>
      <c r="T259" t="s">
        <v>112</v>
      </c>
      <c r="U259" t="s">
        <v>112</v>
      </c>
      <c r="W259">
        <v>2000</v>
      </c>
      <c r="X259" t="b">
        <v>0</v>
      </c>
    </row>
    <row r="260" spans="1:24" x14ac:dyDescent="0.25">
      <c r="A260">
        <v>259</v>
      </c>
      <c r="B260" t="s">
        <v>527</v>
      </c>
      <c r="C260">
        <v>4</v>
      </c>
      <c r="D260">
        <v>1</v>
      </c>
      <c r="E260">
        <v>1</v>
      </c>
      <c r="F260">
        <v>2</v>
      </c>
      <c r="G260" t="s">
        <v>112</v>
      </c>
      <c r="H260">
        <v>14</v>
      </c>
      <c r="I260" t="s">
        <v>112</v>
      </c>
      <c r="J260">
        <v>250</v>
      </c>
      <c r="K260">
        <v>250</v>
      </c>
      <c r="L260">
        <v>1</v>
      </c>
      <c r="M260">
        <v>30</v>
      </c>
      <c r="N260">
        <v>30</v>
      </c>
      <c r="O260">
        <v>1</v>
      </c>
      <c r="P260">
        <v>10</v>
      </c>
      <c r="Q260">
        <v>10</v>
      </c>
      <c r="R260">
        <v>1</v>
      </c>
      <c r="S260">
        <v>1500000</v>
      </c>
      <c r="T260" t="s">
        <v>112</v>
      </c>
      <c r="U260" t="s">
        <v>112</v>
      </c>
      <c r="W260">
        <v>15000</v>
      </c>
      <c r="X260" t="b">
        <v>0</v>
      </c>
    </row>
    <row r="261" spans="1:24" x14ac:dyDescent="0.25">
      <c r="A261">
        <v>260</v>
      </c>
      <c r="B261" t="s">
        <v>528</v>
      </c>
      <c r="C261">
        <v>5</v>
      </c>
      <c r="D261">
        <v>1</v>
      </c>
      <c r="E261">
        <v>1</v>
      </c>
      <c r="F261">
        <v>2</v>
      </c>
      <c r="G261" t="s">
        <v>112</v>
      </c>
      <c r="H261">
        <v>14</v>
      </c>
      <c r="I261" t="s">
        <v>112</v>
      </c>
      <c r="J261">
        <v>500</v>
      </c>
      <c r="K261">
        <v>500</v>
      </c>
      <c r="L261">
        <v>1</v>
      </c>
      <c r="M261">
        <v>40</v>
      </c>
      <c r="N261">
        <v>40</v>
      </c>
      <c r="O261">
        <v>1</v>
      </c>
      <c r="P261">
        <v>15</v>
      </c>
      <c r="Q261">
        <v>15</v>
      </c>
      <c r="R261">
        <v>1</v>
      </c>
      <c r="S261">
        <v>1500000</v>
      </c>
      <c r="T261" t="s">
        <v>112</v>
      </c>
      <c r="U261" t="s">
        <v>112</v>
      </c>
      <c r="W261">
        <v>55000</v>
      </c>
      <c r="X261" t="b">
        <v>0</v>
      </c>
    </row>
    <row r="262" spans="1:24" x14ac:dyDescent="0.25">
      <c r="A262">
        <v>261</v>
      </c>
      <c r="B262" t="s">
        <v>529</v>
      </c>
      <c r="C262">
        <v>6</v>
      </c>
      <c r="D262">
        <v>1</v>
      </c>
      <c r="E262">
        <v>1</v>
      </c>
      <c r="F262">
        <v>4</v>
      </c>
      <c r="G262" t="s">
        <v>112</v>
      </c>
      <c r="H262">
        <v>14</v>
      </c>
      <c r="I262" t="s">
        <v>112</v>
      </c>
      <c r="J262">
        <v>1000</v>
      </c>
      <c r="K262">
        <v>1000</v>
      </c>
      <c r="L262">
        <v>0.7</v>
      </c>
      <c r="M262">
        <v>500</v>
      </c>
      <c r="N262">
        <v>500</v>
      </c>
      <c r="O262">
        <v>0.7</v>
      </c>
      <c r="P262">
        <v>100</v>
      </c>
      <c r="Q262">
        <v>100</v>
      </c>
      <c r="R262">
        <v>0.7</v>
      </c>
      <c r="S262">
        <v>2000000</v>
      </c>
      <c r="T262" t="s">
        <v>112</v>
      </c>
      <c r="U262" t="s">
        <v>112</v>
      </c>
      <c r="W262">
        <v>100000</v>
      </c>
      <c r="X262" t="b">
        <v>0</v>
      </c>
    </row>
    <row r="263" spans="1:24" x14ac:dyDescent="0.25">
      <c r="A263">
        <v>262</v>
      </c>
      <c r="B263" t="s">
        <v>530</v>
      </c>
      <c r="C263">
        <v>3</v>
      </c>
      <c r="D263">
        <v>7</v>
      </c>
      <c r="E263">
        <v>25</v>
      </c>
      <c r="F263">
        <v>0</v>
      </c>
      <c r="G263" t="s">
        <v>112</v>
      </c>
      <c r="H263">
        <v>6</v>
      </c>
      <c r="I263" t="s">
        <v>112</v>
      </c>
      <c r="J263">
        <v>155</v>
      </c>
      <c r="K263">
        <v>403</v>
      </c>
      <c r="L263">
        <v>0.7</v>
      </c>
      <c r="M263">
        <v>286</v>
      </c>
      <c r="N263">
        <v>715</v>
      </c>
      <c r="O263">
        <v>0.7</v>
      </c>
      <c r="P263">
        <v>30</v>
      </c>
      <c r="Q263">
        <v>63</v>
      </c>
      <c r="R263">
        <v>0.7</v>
      </c>
      <c r="S263">
        <v>2000000</v>
      </c>
      <c r="T263" t="s">
        <v>112</v>
      </c>
      <c r="U263" t="s">
        <v>115</v>
      </c>
      <c r="W263">
        <v>400</v>
      </c>
      <c r="X263" t="b">
        <v>0</v>
      </c>
    </row>
    <row r="264" spans="1:24" x14ac:dyDescent="0.25">
      <c r="A264">
        <v>263</v>
      </c>
      <c r="B264" t="s">
        <v>531</v>
      </c>
      <c r="C264">
        <v>4</v>
      </c>
      <c r="D264">
        <v>10</v>
      </c>
      <c r="E264">
        <v>70</v>
      </c>
      <c r="F264">
        <v>0</v>
      </c>
      <c r="G264" t="s">
        <v>112</v>
      </c>
      <c r="H264">
        <v>6</v>
      </c>
      <c r="I264" t="s">
        <v>112</v>
      </c>
      <c r="J264">
        <v>322</v>
      </c>
      <c r="K264">
        <v>741</v>
      </c>
      <c r="L264">
        <v>0.7</v>
      </c>
      <c r="M264">
        <v>644</v>
      </c>
      <c r="N264">
        <v>1352</v>
      </c>
      <c r="O264">
        <v>0.7</v>
      </c>
      <c r="P264">
        <v>57</v>
      </c>
      <c r="Q264">
        <v>86</v>
      </c>
      <c r="R264">
        <v>0.7</v>
      </c>
      <c r="S264">
        <v>2000000</v>
      </c>
      <c r="T264" t="s">
        <v>112</v>
      </c>
      <c r="U264" t="s">
        <v>118</v>
      </c>
      <c r="W264">
        <v>550</v>
      </c>
      <c r="X264" t="b">
        <v>0</v>
      </c>
    </row>
    <row r="265" spans="1:24" x14ac:dyDescent="0.25">
      <c r="A265">
        <v>264</v>
      </c>
      <c r="B265" t="s">
        <v>532</v>
      </c>
      <c r="C265">
        <v>3</v>
      </c>
      <c r="D265">
        <v>7</v>
      </c>
      <c r="E265">
        <v>25</v>
      </c>
      <c r="F265">
        <v>1</v>
      </c>
      <c r="G265" t="s">
        <v>112</v>
      </c>
      <c r="H265">
        <v>6</v>
      </c>
      <c r="I265" t="s">
        <v>112</v>
      </c>
      <c r="J265">
        <v>157</v>
      </c>
      <c r="K265">
        <v>408</v>
      </c>
      <c r="L265">
        <v>0.7</v>
      </c>
      <c r="M265">
        <v>283</v>
      </c>
      <c r="N265">
        <v>708</v>
      </c>
      <c r="O265">
        <v>0.7</v>
      </c>
      <c r="P265">
        <v>33</v>
      </c>
      <c r="Q265">
        <v>69</v>
      </c>
      <c r="R265">
        <v>0.7</v>
      </c>
      <c r="S265">
        <v>2000000</v>
      </c>
      <c r="T265" t="s">
        <v>112</v>
      </c>
      <c r="U265" t="s">
        <v>124</v>
      </c>
      <c r="W265">
        <v>400</v>
      </c>
      <c r="X265" t="b">
        <v>0</v>
      </c>
    </row>
    <row r="266" spans="1:24" x14ac:dyDescent="0.25">
      <c r="A266">
        <v>265</v>
      </c>
      <c r="B266" t="s">
        <v>533</v>
      </c>
      <c r="C266">
        <v>4</v>
      </c>
      <c r="D266">
        <v>10</v>
      </c>
      <c r="E266">
        <v>70</v>
      </c>
      <c r="F266">
        <v>1</v>
      </c>
      <c r="G266" t="s">
        <v>112</v>
      </c>
      <c r="H266">
        <v>6</v>
      </c>
      <c r="I266" t="s">
        <v>112</v>
      </c>
      <c r="J266">
        <v>326</v>
      </c>
      <c r="K266">
        <v>750</v>
      </c>
      <c r="L266">
        <v>0.7</v>
      </c>
      <c r="M266">
        <v>637</v>
      </c>
      <c r="N266">
        <v>1338</v>
      </c>
      <c r="O266">
        <v>0.7</v>
      </c>
      <c r="P266">
        <v>62</v>
      </c>
      <c r="Q266">
        <v>93</v>
      </c>
      <c r="R266">
        <v>0.7</v>
      </c>
      <c r="S266">
        <v>2000000</v>
      </c>
      <c r="T266" t="s">
        <v>112</v>
      </c>
      <c r="U266" t="s">
        <v>127</v>
      </c>
      <c r="W266">
        <v>550</v>
      </c>
      <c r="X266" t="b">
        <v>0</v>
      </c>
    </row>
    <row r="267" spans="1:24" x14ac:dyDescent="0.25">
      <c r="A267">
        <v>266</v>
      </c>
      <c r="B267" t="s">
        <v>534</v>
      </c>
      <c r="C267">
        <v>3</v>
      </c>
      <c r="D267">
        <v>7</v>
      </c>
      <c r="E267">
        <v>25</v>
      </c>
      <c r="F267">
        <v>2</v>
      </c>
      <c r="G267" t="s">
        <v>112</v>
      </c>
      <c r="H267">
        <v>6</v>
      </c>
      <c r="I267" t="s">
        <v>112</v>
      </c>
      <c r="J267">
        <v>161</v>
      </c>
      <c r="K267">
        <v>419</v>
      </c>
      <c r="L267">
        <v>0.7</v>
      </c>
      <c r="M267">
        <v>280</v>
      </c>
      <c r="N267">
        <v>700</v>
      </c>
      <c r="O267">
        <v>0.7</v>
      </c>
      <c r="P267">
        <v>37</v>
      </c>
      <c r="Q267">
        <v>78</v>
      </c>
      <c r="R267">
        <v>0.7</v>
      </c>
      <c r="S267">
        <v>2000000</v>
      </c>
      <c r="T267" t="s">
        <v>112</v>
      </c>
      <c r="U267" t="s">
        <v>132</v>
      </c>
      <c r="W267">
        <v>400</v>
      </c>
      <c r="X267" t="b">
        <v>0</v>
      </c>
    </row>
    <row r="268" spans="1:24" x14ac:dyDescent="0.25">
      <c r="A268">
        <v>267</v>
      </c>
      <c r="B268" t="s">
        <v>535</v>
      </c>
      <c r="C268">
        <v>4</v>
      </c>
      <c r="D268">
        <v>10</v>
      </c>
      <c r="E268">
        <v>70</v>
      </c>
      <c r="F268">
        <v>2</v>
      </c>
      <c r="G268" t="s">
        <v>112</v>
      </c>
      <c r="H268">
        <v>6</v>
      </c>
      <c r="I268" t="s">
        <v>112</v>
      </c>
      <c r="J268">
        <v>335</v>
      </c>
      <c r="K268">
        <v>771</v>
      </c>
      <c r="L268">
        <v>0.7</v>
      </c>
      <c r="M268">
        <v>630</v>
      </c>
      <c r="N268">
        <v>1323</v>
      </c>
      <c r="O268">
        <v>0.7</v>
      </c>
      <c r="P268">
        <v>70</v>
      </c>
      <c r="Q268">
        <v>105</v>
      </c>
      <c r="R268">
        <v>0.7</v>
      </c>
      <c r="S268">
        <v>2000000</v>
      </c>
      <c r="T268" t="s">
        <v>112</v>
      </c>
      <c r="U268" t="s">
        <v>135</v>
      </c>
      <c r="W268">
        <v>550</v>
      </c>
      <c r="X268" t="b">
        <v>0</v>
      </c>
    </row>
    <row r="269" spans="1:24" x14ac:dyDescent="0.25">
      <c r="A269">
        <v>268</v>
      </c>
      <c r="B269" t="s">
        <v>536</v>
      </c>
      <c r="C269">
        <v>3</v>
      </c>
      <c r="D269">
        <v>7</v>
      </c>
      <c r="E269">
        <v>25</v>
      </c>
      <c r="F269">
        <v>3</v>
      </c>
      <c r="G269" t="s">
        <v>112</v>
      </c>
      <c r="H269">
        <v>6</v>
      </c>
      <c r="I269" t="s">
        <v>112</v>
      </c>
      <c r="J269">
        <v>150</v>
      </c>
      <c r="K269">
        <v>390</v>
      </c>
      <c r="L269">
        <v>0.7</v>
      </c>
      <c r="M269">
        <v>281</v>
      </c>
      <c r="N269">
        <v>703</v>
      </c>
      <c r="O269">
        <v>0.7</v>
      </c>
      <c r="P269">
        <v>35</v>
      </c>
      <c r="Q269">
        <v>74</v>
      </c>
      <c r="R269">
        <v>0.7</v>
      </c>
      <c r="S269">
        <v>2000000</v>
      </c>
      <c r="T269" t="s">
        <v>112</v>
      </c>
      <c r="U269" t="s">
        <v>140</v>
      </c>
      <c r="W269">
        <v>400</v>
      </c>
      <c r="X269" t="b">
        <v>0</v>
      </c>
    </row>
    <row r="270" spans="1:24" x14ac:dyDescent="0.25">
      <c r="A270">
        <v>269</v>
      </c>
      <c r="B270" t="s">
        <v>537</v>
      </c>
      <c r="C270">
        <v>4</v>
      </c>
      <c r="D270">
        <v>10</v>
      </c>
      <c r="E270">
        <v>70</v>
      </c>
      <c r="F270">
        <v>3</v>
      </c>
      <c r="G270" t="s">
        <v>112</v>
      </c>
      <c r="H270">
        <v>6</v>
      </c>
      <c r="I270" t="s">
        <v>112</v>
      </c>
      <c r="J270">
        <v>312</v>
      </c>
      <c r="K270">
        <v>718</v>
      </c>
      <c r="L270">
        <v>0.7</v>
      </c>
      <c r="M270">
        <v>633</v>
      </c>
      <c r="N270">
        <v>1329</v>
      </c>
      <c r="O270">
        <v>0.7</v>
      </c>
      <c r="P270">
        <v>67</v>
      </c>
      <c r="Q270">
        <v>101</v>
      </c>
      <c r="R270">
        <v>0.7</v>
      </c>
      <c r="S270">
        <v>2000000</v>
      </c>
      <c r="T270" t="s">
        <v>112</v>
      </c>
      <c r="U270" t="s">
        <v>143</v>
      </c>
      <c r="W270">
        <v>550</v>
      </c>
      <c r="X270" t="b">
        <v>0</v>
      </c>
    </row>
    <row r="271" spans="1:24" x14ac:dyDescent="0.25">
      <c r="A271">
        <v>270</v>
      </c>
      <c r="B271" t="s">
        <v>538</v>
      </c>
      <c r="C271">
        <v>3</v>
      </c>
      <c r="D271">
        <v>7</v>
      </c>
      <c r="E271">
        <v>25</v>
      </c>
      <c r="F271">
        <v>4</v>
      </c>
      <c r="G271" t="s">
        <v>112</v>
      </c>
      <c r="H271">
        <v>6</v>
      </c>
      <c r="I271" t="s">
        <v>112</v>
      </c>
      <c r="J271">
        <v>159</v>
      </c>
      <c r="K271">
        <v>413</v>
      </c>
      <c r="L271">
        <v>0.7</v>
      </c>
      <c r="M271">
        <v>278</v>
      </c>
      <c r="N271">
        <v>695</v>
      </c>
      <c r="O271">
        <v>0.7</v>
      </c>
      <c r="P271">
        <v>31</v>
      </c>
      <c r="Q271">
        <v>65</v>
      </c>
      <c r="R271">
        <v>0.7</v>
      </c>
      <c r="S271">
        <v>2000000</v>
      </c>
      <c r="T271" t="s">
        <v>112</v>
      </c>
      <c r="U271" t="s">
        <v>148</v>
      </c>
      <c r="W271">
        <v>400</v>
      </c>
      <c r="X271" t="b">
        <v>0</v>
      </c>
    </row>
    <row r="272" spans="1:24" x14ac:dyDescent="0.25">
      <c r="A272">
        <v>271</v>
      </c>
      <c r="B272" t="s">
        <v>539</v>
      </c>
      <c r="C272">
        <v>4</v>
      </c>
      <c r="D272">
        <v>10</v>
      </c>
      <c r="E272">
        <v>70</v>
      </c>
      <c r="F272">
        <v>4</v>
      </c>
      <c r="G272" t="s">
        <v>112</v>
      </c>
      <c r="H272">
        <v>6</v>
      </c>
      <c r="I272" t="s">
        <v>112</v>
      </c>
      <c r="J272">
        <v>330</v>
      </c>
      <c r="K272">
        <v>759</v>
      </c>
      <c r="L272">
        <v>0.7</v>
      </c>
      <c r="M272">
        <v>626</v>
      </c>
      <c r="N272">
        <v>1315</v>
      </c>
      <c r="O272">
        <v>0.7</v>
      </c>
      <c r="P272">
        <v>59</v>
      </c>
      <c r="Q272">
        <v>89</v>
      </c>
      <c r="R272">
        <v>0.7</v>
      </c>
      <c r="S272">
        <v>2000000</v>
      </c>
      <c r="T272" t="s">
        <v>112</v>
      </c>
      <c r="U272" t="s">
        <v>151</v>
      </c>
      <c r="W272">
        <v>550</v>
      </c>
      <c r="X272" t="b">
        <v>0</v>
      </c>
    </row>
    <row r="273" spans="1:24" x14ac:dyDescent="0.25">
      <c r="A273">
        <v>272</v>
      </c>
      <c r="B273" t="s">
        <v>1838</v>
      </c>
      <c r="C273">
        <v>2</v>
      </c>
      <c r="D273">
        <v>5</v>
      </c>
      <c r="E273">
        <v>15</v>
      </c>
      <c r="F273">
        <v>0</v>
      </c>
      <c r="G273" t="s">
        <v>112</v>
      </c>
      <c r="H273">
        <v>6</v>
      </c>
      <c r="I273" t="s">
        <v>112</v>
      </c>
      <c r="J273">
        <v>32</v>
      </c>
      <c r="K273">
        <v>25</v>
      </c>
      <c r="L273">
        <v>0.7</v>
      </c>
      <c r="M273">
        <v>105</v>
      </c>
      <c r="N273">
        <v>325</v>
      </c>
      <c r="O273">
        <v>0.7</v>
      </c>
      <c r="P273">
        <v>15</v>
      </c>
      <c r="Q273">
        <v>25</v>
      </c>
      <c r="R273">
        <v>0.7</v>
      </c>
      <c r="S273">
        <v>1000000</v>
      </c>
      <c r="T273" t="s">
        <v>1839</v>
      </c>
      <c r="U273" t="s">
        <v>112</v>
      </c>
      <c r="W273">
        <v>262.5</v>
      </c>
      <c r="X273" t="b">
        <v>1</v>
      </c>
    </row>
    <row r="274" spans="1:24" x14ac:dyDescent="0.25">
      <c r="A274">
        <v>273</v>
      </c>
      <c r="B274" t="s">
        <v>1840</v>
      </c>
      <c r="C274">
        <v>3</v>
      </c>
      <c r="D274">
        <v>10</v>
      </c>
      <c r="E274">
        <v>50</v>
      </c>
      <c r="F274">
        <v>0</v>
      </c>
      <c r="G274" t="s">
        <v>112</v>
      </c>
      <c r="H274">
        <v>6</v>
      </c>
      <c r="I274" t="s">
        <v>112</v>
      </c>
      <c r="J274">
        <v>20</v>
      </c>
      <c r="K274">
        <v>100</v>
      </c>
      <c r="L274">
        <v>1</v>
      </c>
      <c r="M274">
        <v>293</v>
      </c>
      <c r="N274">
        <v>1765</v>
      </c>
      <c r="O274">
        <v>1</v>
      </c>
      <c r="P274">
        <v>23</v>
      </c>
      <c r="Q274">
        <v>75</v>
      </c>
      <c r="R274">
        <v>1</v>
      </c>
      <c r="S274">
        <v>1500000</v>
      </c>
      <c r="T274" t="s">
        <v>1839</v>
      </c>
      <c r="U274" t="s">
        <v>308</v>
      </c>
      <c r="V274" t="s">
        <v>540</v>
      </c>
      <c r="W274">
        <v>487.5</v>
      </c>
      <c r="X274" t="b">
        <v>1</v>
      </c>
    </row>
    <row r="275" spans="1:24" x14ac:dyDescent="0.25">
      <c r="A275">
        <v>274</v>
      </c>
      <c r="B275" t="s">
        <v>1841</v>
      </c>
      <c r="C275">
        <v>2</v>
      </c>
      <c r="D275">
        <v>5</v>
      </c>
      <c r="E275">
        <v>15</v>
      </c>
      <c r="F275">
        <v>1</v>
      </c>
      <c r="G275" t="s">
        <v>112</v>
      </c>
      <c r="H275">
        <v>3</v>
      </c>
      <c r="I275" t="s">
        <v>112</v>
      </c>
      <c r="J275">
        <v>25</v>
      </c>
      <c r="K275">
        <v>130</v>
      </c>
      <c r="L275">
        <v>0.7</v>
      </c>
      <c r="M275">
        <v>32</v>
      </c>
      <c r="N275">
        <v>114</v>
      </c>
      <c r="O275">
        <v>0.7</v>
      </c>
      <c r="P275">
        <v>33</v>
      </c>
      <c r="Q275">
        <v>212</v>
      </c>
      <c r="R275">
        <v>0.7</v>
      </c>
      <c r="S275">
        <v>1000000</v>
      </c>
      <c r="T275" t="s">
        <v>1839</v>
      </c>
      <c r="U275" t="s">
        <v>112</v>
      </c>
      <c r="W275">
        <v>262.5</v>
      </c>
      <c r="X275" t="b">
        <v>1</v>
      </c>
    </row>
    <row r="276" spans="1:24" x14ac:dyDescent="0.25">
      <c r="A276">
        <v>275</v>
      </c>
      <c r="B276" t="s">
        <v>1842</v>
      </c>
      <c r="C276">
        <v>3</v>
      </c>
      <c r="D276">
        <v>10</v>
      </c>
      <c r="E276">
        <v>50</v>
      </c>
      <c r="F276">
        <v>1</v>
      </c>
      <c r="G276" t="s">
        <v>112</v>
      </c>
      <c r="H276">
        <v>3</v>
      </c>
      <c r="I276" t="s">
        <v>112</v>
      </c>
      <c r="J276">
        <v>104</v>
      </c>
      <c r="K276">
        <v>386</v>
      </c>
      <c r="L276">
        <v>1</v>
      </c>
      <c r="M276">
        <v>103</v>
      </c>
      <c r="N276">
        <v>289</v>
      </c>
      <c r="O276">
        <v>1</v>
      </c>
      <c r="P276">
        <v>191</v>
      </c>
      <c r="Q276">
        <v>765</v>
      </c>
      <c r="R276">
        <v>1</v>
      </c>
      <c r="S276">
        <v>1500000</v>
      </c>
      <c r="T276" t="s">
        <v>1839</v>
      </c>
      <c r="U276" t="s">
        <v>258</v>
      </c>
      <c r="V276" t="s">
        <v>541</v>
      </c>
      <c r="W276">
        <v>487.5</v>
      </c>
      <c r="X276" t="b">
        <v>1</v>
      </c>
    </row>
    <row r="277" spans="1:24" x14ac:dyDescent="0.25">
      <c r="A277">
        <v>276</v>
      </c>
      <c r="B277" t="s">
        <v>1843</v>
      </c>
      <c r="C277">
        <v>2</v>
      </c>
      <c r="D277">
        <v>5</v>
      </c>
      <c r="E277">
        <v>15</v>
      </c>
      <c r="F277">
        <v>2</v>
      </c>
      <c r="G277" t="s">
        <v>112</v>
      </c>
      <c r="H277">
        <v>2</v>
      </c>
      <c r="I277" t="s">
        <v>112</v>
      </c>
      <c r="J277">
        <v>82</v>
      </c>
      <c r="K277">
        <v>632</v>
      </c>
      <c r="L277">
        <v>0.7</v>
      </c>
      <c r="M277">
        <v>79</v>
      </c>
      <c r="N277">
        <v>189</v>
      </c>
      <c r="O277">
        <v>0.7</v>
      </c>
      <c r="P277">
        <v>0</v>
      </c>
      <c r="Q277">
        <v>0</v>
      </c>
      <c r="R277">
        <v>0.7</v>
      </c>
      <c r="S277">
        <v>1000000</v>
      </c>
      <c r="T277" t="s">
        <v>1839</v>
      </c>
      <c r="U277" t="s">
        <v>112</v>
      </c>
      <c r="W277">
        <v>262.5</v>
      </c>
      <c r="X277" t="b">
        <v>1</v>
      </c>
    </row>
    <row r="278" spans="1:24" x14ac:dyDescent="0.25">
      <c r="A278">
        <v>277</v>
      </c>
      <c r="B278" t="s">
        <v>1844</v>
      </c>
      <c r="C278">
        <v>3</v>
      </c>
      <c r="D278">
        <v>10</v>
      </c>
      <c r="E278">
        <v>50</v>
      </c>
      <c r="F278">
        <v>2</v>
      </c>
      <c r="G278" t="s">
        <v>112</v>
      </c>
      <c r="H278">
        <v>2</v>
      </c>
      <c r="I278" t="s">
        <v>112</v>
      </c>
      <c r="J278">
        <v>506</v>
      </c>
      <c r="K278">
        <v>2765</v>
      </c>
      <c r="L278">
        <v>1</v>
      </c>
      <c r="M278">
        <v>170</v>
      </c>
      <c r="N278">
        <v>342</v>
      </c>
      <c r="O278">
        <v>1</v>
      </c>
      <c r="P278">
        <v>0</v>
      </c>
      <c r="Q278">
        <v>0</v>
      </c>
      <c r="R278">
        <v>1</v>
      </c>
      <c r="S278">
        <v>1500000</v>
      </c>
      <c r="T278" t="s">
        <v>1839</v>
      </c>
      <c r="U278" t="s">
        <v>339</v>
      </c>
      <c r="V278" t="s">
        <v>542</v>
      </c>
      <c r="W278">
        <v>487.5</v>
      </c>
      <c r="X278" t="b">
        <v>1</v>
      </c>
    </row>
    <row r="279" spans="1:24" x14ac:dyDescent="0.25">
      <c r="A279">
        <v>278</v>
      </c>
      <c r="B279" t="s">
        <v>1845</v>
      </c>
      <c r="C279">
        <v>2</v>
      </c>
      <c r="D279">
        <v>5</v>
      </c>
      <c r="E279">
        <v>15</v>
      </c>
      <c r="F279">
        <v>4</v>
      </c>
      <c r="G279" t="s">
        <v>112</v>
      </c>
      <c r="H279">
        <v>1</v>
      </c>
      <c r="I279" t="s">
        <v>112</v>
      </c>
      <c r="J279">
        <v>45</v>
      </c>
      <c r="K279">
        <v>222</v>
      </c>
      <c r="L279">
        <v>0.7</v>
      </c>
      <c r="M279">
        <v>46</v>
      </c>
      <c r="N279">
        <v>222</v>
      </c>
      <c r="O279">
        <v>0.7</v>
      </c>
      <c r="P279">
        <v>22</v>
      </c>
      <c r="Q279">
        <v>66</v>
      </c>
      <c r="R279">
        <v>0.7</v>
      </c>
      <c r="S279">
        <v>1000000</v>
      </c>
      <c r="T279" t="s">
        <v>1839</v>
      </c>
      <c r="U279" t="s">
        <v>112</v>
      </c>
      <c r="W279">
        <v>262.5</v>
      </c>
      <c r="X279" t="b">
        <v>1</v>
      </c>
    </row>
    <row r="280" spans="1:24" x14ac:dyDescent="0.25">
      <c r="A280">
        <v>279</v>
      </c>
      <c r="B280" t="s">
        <v>1846</v>
      </c>
      <c r="C280">
        <v>3</v>
      </c>
      <c r="D280">
        <v>10</v>
      </c>
      <c r="E280">
        <v>50</v>
      </c>
      <c r="F280">
        <v>4</v>
      </c>
      <c r="G280" t="s">
        <v>112</v>
      </c>
      <c r="H280">
        <v>1</v>
      </c>
      <c r="I280" t="s">
        <v>112</v>
      </c>
      <c r="J280">
        <v>178</v>
      </c>
      <c r="K280">
        <v>765</v>
      </c>
      <c r="L280">
        <v>1</v>
      </c>
      <c r="M280">
        <v>200</v>
      </c>
      <c r="N280">
        <v>765</v>
      </c>
      <c r="O280">
        <v>1</v>
      </c>
      <c r="P280">
        <v>59</v>
      </c>
      <c r="Q280">
        <v>222</v>
      </c>
      <c r="R280">
        <v>1</v>
      </c>
      <c r="S280">
        <v>1500000</v>
      </c>
      <c r="T280" t="s">
        <v>1839</v>
      </c>
      <c r="U280" t="s">
        <v>264</v>
      </c>
      <c r="V280" t="s">
        <v>543</v>
      </c>
      <c r="W280">
        <v>487.5</v>
      </c>
      <c r="X280" t="b">
        <v>1</v>
      </c>
    </row>
    <row r="281" spans="1:24" x14ac:dyDescent="0.25">
      <c r="A281">
        <v>280</v>
      </c>
      <c r="B281" t="s">
        <v>1847</v>
      </c>
      <c r="C281">
        <v>3</v>
      </c>
      <c r="D281">
        <v>5</v>
      </c>
      <c r="E281">
        <v>50</v>
      </c>
      <c r="F281">
        <v>3</v>
      </c>
      <c r="G281" t="s">
        <v>112</v>
      </c>
      <c r="H281">
        <v>3</v>
      </c>
      <c r="I281" t="s">
        <v>112</v>
      </c>
      <c r="J281">
        <v>208</v>
      </c>
      <c r="K281">
        <v>1224</v>
      </c>
      <c r="L281">
        <v>1</v>
      </c>
      <c r="M281">
        <v>77</v>
      </c>
      <c r="N281">
        <v>235</v>
      </c>
      <c r="O281">
        <v>1</v>
      </c>
      <c r="P281">
        <v>60</v>
      </c>
      <c r="Q281">
        <v>400</v>
      </c>
      <c r="R281">
        <v>1</v>
      </c>
      <c r="S281">
        <v>1000000</v>
      </c>
      <c r="T281" t="s">
        <v>1839</v>
      </c>
      <c r="U281" t="s">
        <v>7</v>
      </c>
      <c r="W281">
        <v>300</v>
      </c>
      <c r="X281" t="b">
        <v>1</v>
      </c>
    </row>
    <row r="282" spans="1:24" x14ac:dyDescent="0.25">
      <c r="A282">
        <v>281</v>
      </c>
      <c r="B282" t="s">
        <v>1848</v>
      </c>
      <c r="C282">
        <v>4</v>
      </c>
      <c r="D282">
        <v>10</v>
      </c>
      <c r="E282">
        <v>70</v>
      </c>
      <c r="F282">
        <v>3</v>
      </c>
      <c r="G282" t="s">
        <v>112</v>
      </c>
      <c r="H282">
        <v>3</v>
      </c>
      <c r="I282" t="s">
        <v>112</v>
      </c>
      <c r="J282">
        <v>208</v>
      </c>
      <c r="K282">
        <v>765</v>
      </c>
      <c r="L282">
        <v>1</v>
      </c>
      <c r="M282">
        <v>77</v>
      </c>
      <c r="N282">
        <v>357</v>
      </c>
      <c r="O282">
        <v>1</v>
      </c>
      <c r="P282">
        <v>60</v>
      </c>
      <c r="Q282">
        <v>365</v>
      </c>
      <c r="R282">
        <v>1</v>
      </c>
      <c r="S282">
        <v>1500000</v>
      </c>
      <c r="T282" t="s">
        <v>1839</v>
      </c>
      <c r="U282" t="s">
        <v>7</v>
      </c>
      <c r="W282">
        <v>525</v>
      </c>
      <c r="X282" t="b">
        <v>1</v>
      </c>
    </row>
    <row r="283" spans="1:24" x14ac:dyDescent="0.25">
      <c r="A283">
        <v>282</v>
      </c>
      <c r="B283" t="s">
        <v>1849</v>
      </c>
      <c r="C283">
        <v>5</v>
      </c>
      <c r="D283">
        <v>15</v>
      </c>
      <c r="E283">
        <v>99</v>
      </c>
      <c r="F283">
        <v>3</v>
      </c>
      <c r="G283" t="s">
        <v>112</v>
      </c>
      <c r="H283">
        <v>3</v>
      </c>
      <c r="I283" t="s">
        <v>112</v>
      </c>
      <c r="J283">
        <v>612</v>
      </c>
      <c r="K283">
        <v>1765</v>
      </c>
      <c r="L283">
        <v>1</v>
      </c>
      <c r="M283">
        <v>321</v>
      </c>
      <c r="N283">
        <v>555</v>
      </c>
      <c r="O283">
        <v>1.5</v>
      </c>
      <c r="P283">
        <v>329</v>
      </c>
      <c r="Q283">
        <v>765</v>
      </c>
      <c r="R283">
        <v>1.5</v>
      </c>
      <c r="S283">
        <v>3000000</v>
      </c>
      <c r="T283" t="s">
        <v>1839</v>
      </c>
      <c r="U283" t="s">
        <v>7</v>
      </c>
      <c r="V283" t="s">
        <v>544</v>
      </c>
      <c r="W283">
        <v>750</v>
      </c>
      <c r="X283" t="b">
        <v>1</v>
      </c>
    </row>
    <row r="284" spans="1:24" x14ac:dyDescent="0.25">
      <c r="A284">
        <v>283</v>
      </c>
      <c r="B284" t="s">
        <v>2170</v>
      </c>
      <c r="C284">
        <v>6</v>
      </c>
      <c r="D284">
        <v>50</v>
      </c>
      <c r="E284">
        <v>99</v>
      </c>
      <c r="F284">
        <v>0</v>
      </c>
      <c r="G284" t="s">
        <v>112</v>
      </c>
      <c r="H284">
        <v>4</v>
      </c>
      <c r="I284" t="s">
        <v>112</v>
      </c>
      <c r="J284">
        <v>1595</v>
      </c>
      <c r="K284">
        <v>4307</v>
      </c>
      <c r="L284">
        <v>1</v>
      </c>
      <c r="M284">
        <v>757</v>
      </c>
      <c r="N284">
        <v>1590</v>
      </c>
      <c r="O284">
        <v>1</v>
      </c>
      <c r="P284">
        <v>30</v>
      </c>
      <c r="Q284">
        <v>105</v>
      </c>
      <c r="R284">
        <v>1</v>
      </c>
      <c r="S284">
        <v>4000000</v>
      </c>
      <c r="T284" t="s">
        <v>121</v>
      </c>
      <c r="U284" t="s">
        <v>545</v>
      </c>
      <c r="V284" t="s">
        <v>350</v>
      </c>
      <c r="W284">
        <v>2100</v>
      </c>
      <c r="X284" t="b">
        <v>0</v>
      </c>
    </row>
    <row r="285" spans="1:24" x14ac:dyDescent="0.25">
      <c r="A285">
        <v>284</v>
      </c>
      <c r="B285" t="s">
        <v>2171</v>
      </c>
      <c r="C285">
        <v>6</v>
      </c>
      <c r="D285">
        <v>50</v>
      </c>
      <c r="E285">
        <v>99</v>
      </c>
      <c r="F285">
        <v>1</v>
      </c>
      <c r="G285" t="s">
        <v>112</v>
      </c>
      <c r="H285">
        <v>4</v>
      </c>
      <c r="I285" t="s">
        <v>112</v>
      </c>
      <c r="J285">
        <v>1610</v>
      </c>
      <c r="K285">
        <v>4347</v>
      </c>
      <c r="L285">
        <v>1</v>
      </c>
      <c r="M285">
        <v>748</v>
      </c>
      <c r="N285">
        <v>1571</v>
      </c>
      <c r="O285">
        <v>1</v>
      </c>
      <c r="P285">
        <v>32</v>
      </c>
      <c r="Q285">
        <v>112</v>
      </c>
      <c r="R285">
        <v>1</v>
      </c>
      <c r="S285">
        <v>4000000</v>
      </c>
      <c r="T285" t="s">
        <v>129</v>
      </c>
      <c r="U285" t="s">
        <v>546</v>
      </c>
      <c r="V285" t="s">
        <v>352</v>
      </c>
      <c r="W285">
        <v>2100</v>
      </c>
      <c r="X285" t="b">
        <v>0</v>
      </c>
    </row>
    <row r="286" spans="1:24" x14ac:dyDescent="0.25">
      <c r="A286">
        <v>285</v>
      </c>
      <c r="B286" t="s">
        <v>2172</v>
      </c>
      <c r="C286">
        <v>6</v>
      </c>
      <c r="D286">
        <v>50</v>
      </c>
      <c r="E286">
        <v>99</v>
      </c>
      <c r="F286">
        <v>2</v>
      </c>
      <c r="G286" t="s">
        <v>112</v>
      </c>
      <c r="H286">
        <v>4</v>
      </c>
      <c r="I286" t="s">
        <v>112</v>
      </c>
      <c r="J286">
        <v>1528</v>
      </c>
      <c r="K286">
        <v>4126</v>
      </c>
      <c r="L286">
        <v>1</v>
      </c>
      <c r="M286">
        <v>739</v>
      </c>
      <c r="N286">
        <v>1552</v>
      </c>
      <c r="O286">
        <v>1</v>
      </c>
      <c r="P286">
        <v>34</v>
      </c>
      <c r="Q286">
        <v>119</v>
      </c>
      <c r="R286">
        <v>1</v>
      </c>
      <c r="S286">
        <v>4000000</v>
      </c>
      <c r="T286" t="s">
        <v>137</v>
      </c>
      <c r="U286" t="s">
        <v>547</v>
      </c>
      <c r="V286" t="s">
        <v>354</v>
      </c>
      <c r="W286">
        <v>2100</v>
      </c>
      <c r="X286" t="b">
        <v>0</v>
      </c>
    </row>
    <row r="287" spans="1:24" x14ac:dyDescent="0.25">
      <c r="A287">
        <v>286</v>
      </c>
      <c r="B287" t="s">
        <v>2173</v>
      </c>
      <c r="C287">
        <v>6</v>
      </c>
      <c r="D287">
        <v>50</v>
      </c>
      <c r="E287">
        <v>99</v>
      </c>
      <c r="F287">
        <v>3</v>
      </c>
      <c r="G287" t="s">
        <v>112</v>
      </c>
      <c r="H287">
        <v>4</v>
      </c>
      <c r="I287" t="s">
        <v>112</v>
      </c>
      <c r="J287">
        <v>1503</v>
      </c>
      <c r="K287">
        <v>4058</v>
      </c>
      <c r="L287">
        <v>1</v>
      </c>
      <c r="M287">
        <v>730</v>
      </c>
      <c r="N287">
        <v>1533</v>
      </c>
      <c r="O287">
        <v>1</v>
      </c>
      <c r="P287">
        <v>36</v>
      </c>
      <c r="Q287">
        <v>126</v>
      </c>
      <c r="R287">
        <v>1</v>
      </c>
      <c r="S287">
        <v>4000000</v>
      </c>
      <c r="T287" t="s">
        <v>145</v>
      </c>
      <c r="U287" t="s">
        <v>548</v>
      </c>
      <c r="V287" t="s">
        <v>356</v>
      </c>
      <c r="W287">
        <v>2100</v>
      </c>
      <c r="X287" t="b">
        <v>0</v>
      </c>
    </row>
    <row r="288" spans="1:24" x14ac:dyDescent="0.25">
      <c r="A288">
        <v>287</v>
      </c>
      <c r="B288" t="s">
        <v>2174</v>
      </c>
      <c r="C288">
        <v>6</v>
      </c>
      <c r="D288">
        <v>50</v>
      </c>
      <c r="E288">
        <v>99</v>
      </c>
      <c r="F288">
        <v>4</v>
      </c>
      <c r="G288" t="s">
        <v>112</v>
      </c>
      <c r="H288">
        <v>4</v>
      </c>
      <c r="I288" t="s">
        <v>112</v>
      </c>
      <c r="J288">
        <v>1488</v>
      </c>
      <c r="K288">
        <v>4018</v>
      </c>
      <c r="L288">
        <v>1</v>
      </c>
      <c r="M288">
        <v>766</v>
      </c>
      <c r="N288">
        <v>1609</v>
      </c>
      <c r="O288">
        <v>1</v>
      </c>
      <c r="P288">
        <v>28</v>
      </c>
      <c r="Q288">
        <v>98</v>
      </c>
      <c r="R288">
        <v>1</v>
      </c>
      <c r="S288">
        <v>4000000</v>
      </c>
      <c r="T288" t="s">
        <v>153</v>
      </c>
      <c r="U288" t="s">
        <v>549</v>
      </c>
      <c r="V288" t="s">
        <v>358</v>
      </c>
      <c r="W288">
        <v>2100</v>
      </c>
      <c r="X288" t="b">
        <v>0</v>
      </c>
    </row>
    <row r="289" spans="1:24" x14ac:dyDescent="0.25">
      <c r="A289">
        <v>288</v>
      </c>
      <c r="B289" t="s">
        <v>550</v>
      </c>
      <c r="C289">
        <v>3</v>
      </c>
      <c r="D289">
        <v>5</v>
      </c>
      <c r="E289">
        <v>15</v>
      </c>
      <c r="F289">
        <v>0</v>
      </c>
      <c r="G289" t="s">
        <v>112</v>
      </c>
      <c r="H289">
        <v>4</v>
      </c>
      <c r="I289" t="s">
        <v>112</v>
      </c>
      <c r="J289">
        <v>205</v>
      </c>
      <c r="K289">
        <v>431</v>
      </c>
      <c r="L289">
        <v>1</v>
      </c>
      <c r="M289">
        <v>83</v>
      </c>
      <c r="N289">
        <v>166</v>
      </c>
      <c r="O289">
        <v>1</v>
      </c>
      <c r="P289">
        <v>50</v>
      </c>
      <c r="Q289">
        <v>100</v>
      </c>
      <c r="R289">
        <v>1</v>
      </c>
      <c r="S289">
        <v>1500000</v>
      </c>
      <c r="T289" t="s">
        <v>551</v>
      </c>
      <c r="U289" t="s">
        <v>552</v>
      </c>
      <c r="W289">
        <v>437.5</v>
      </c>
      <c r="X289" t="b">
        <v>0</v>
      </c>
    </row>
    <row r="290" spans="1:24" x14ac:dyDescent="0.25">
      <c r="A290">
        <v>289</v>
      </c>
      <c r="B290" t="s">
        <v>553</v>
      </c>
      <c r="C290">
        <v>4</v>
      </c>
      <c r="D290">
        <v>10</v>
      </c>
      <c r="E290">
        <v>35</v>
      </c>
      <c r="F290">
        <v>0</v>
      </c>
      <c r="G290" t="s">
        <v>112</v>
      </c>
      <c r="H290">
        <v>4</v>
      </c>
      <c r="I290" t="s">
        <v>112</v>
      </c>
      <c r="J290">
        <v>345</v>
      </c>
      <c r="K290">
        <v>725</v>
      </c>
      <c r="L290">
        <v>1</v>
      </c>
      <c r="M290">
        <v>149</v>
      </c>
      <c r="N290">
        <v>373</v>
      </c>
      <c r="O290">
        <v>1</v>
      </c>
      <c r="P290">
        <v>90</v>
      </c>
      <c r="Q290">
        <v>180</v>
      </c>
      <c r="R290">
        <v>1</v>
      </c>
      <c r="S290">
        <v>2000000</v>
      </c>
      <c r="T290" t="s">
        <v>551</v>
      </c>
      <c r="U290" t="s">
        <v>552</v>
      </c>
      <c r="W290">
        <v>525</v>
      </c>
      <c r="X290" t="b">
        <v>0</v>
      </c>
    </row>
    <row r="291" spans="1:24" x14ac:dyDescent="0.25">
      <c r="A291">
        <v>290</v>
      </c>
      <c r="B291" t="s">
        <v>554</v>
      </c>
      <c r="C291">
        <v>5</v>
      </c>
      <c r="D291">
        <v>15</v>
      </c>
      <c r="E291">
        <v>99</v>
      </c>
      <c r="F291">
        <v>0</v>
      </c>
      <c r="G291" t="s">
        <v>112</v>
      </c>
      <c r="H291">
        <v>4</v>
      </c>
      <c r="I291" t="s">
        <v>112</v>
      </c>
      <c r="J291">
        <v>580</v>
      </c>
      <c r="K291">
        <v>2146</v>
      </c>
      <c r="L291">
        <v>1</v>
      </c>
      <c r="M291">
        <v>336</v>
      </c>
      <c r="N291">
        <v>840</v>
      </c>
      <c r="O291">
        <v>1.5</v>
      </c>
      <c r="P291">
        <v>162</v>
      </c>
      <c r="Q291">
        <v>324</v>
      </c>
      <c r="R291">
        <v>1.5</v>
      </c>
      <c r="S291">
        <v>3000000</v>
      </c>
      <c r="T291" t="s">
        <v>556</v>
      </c>
      <c r="U291" t="s">
        <v>552</v>
      </c>
      <c r="V291" t="s">
        <v>555</v>
      </c>
      <c r="W291">
        <v>750</v>
      </c>
      <c r="X291" t="b">
        <v>0</v>
      </c>
    </row>
    <row r="292" spans="1:24" x14ac:dyDescent="0.25">
      <c r="A292">
        <v>291</v>
      </c>
      <c r="B292" t="s">
        <v>557</v>
      </c>
      <c r="C292">
        <v>3</v>
      </c>
      <c r="D292">
        <v>5</v>
      </c>
      <c r="E292">
        <v>15</v>
      </c>
      <c r="F292">
        <v>1</v>
      </c>
      <c r="G292" t="s">
        <v>112</v>
      </c>
      <c r="H292">
        <v>4</v>
      </c>
      <c r="I292" t="s">
        <v>112</v>
      </c>
      <c r="J292">
        <v>210</v>
      </c>
      <c r="K292">
        <v>441</v>
      </c>
      <c r="L292">
        <v>1</v>
      </c>
      <c r="M292">
        <v>85</v>
      </c>
      <c r="N292">
        <v>170</v>
      </c>
      <c r="O292">
        <v>1</v>
      </c>
      <c r="P292">
        <v>48</v>
      </c>
      <c r="Q292">
        <v>96</v>
      </c>
      <c r="R292">
        <v>1</v>
      </c>
      <c r="S292">
        <v>1500000</v>
      </c>
      <c r="T292" t="s">
        <v>558</v>
      </c>
      <c r="U292" t="s">
        <v>189</v>
      </c>
      <c r="W292">
        <v>437.5</v>
      </c>
      <c r="X292" t="b">
        <v>0</v>
      </c>
    </row>
    <row r="293" spans="1:24" x14ac:dyDescent="0.25">
      <c r="A293">
        <v>292</v>
      </c>
      <c r="B293" t="s">
        <v>559</v>
      </c>
      <c r="C293">
        <v>4</v>
      </c>
      <c r="D293">
        <v>10</v>
      </c>
      <c r="E293">
        <v>35</v>
      </c>
      <c r="F293">
        <v>1</v>
      </c>
      <c r="G293" t="s">
        <v>112</v>
      </c>
      <c r="H293">
        <v>4</v>
      </c>
      <c r="I293" t="s">
        <v>112</v>
      </c>
      <c r="J293">
        <v>353</v>
      </c>
      <c r="K293">
        <v>741</v>
      </c>
      <c r="L293">
        <v>1</v>
      </c>
      <c r="M293">
        <v>153</v>
      </c>
      <c r="N293">
        <v>383</v>
      </c>
      <c r="O293">
        <v>1</v>
      </c>
      <c r="P293">
        <v>86</v>
      </c>
      <c r="Q293">
        <v>172</v>
      </c>
      <c r="R293">
        <v>1</v>
      </c>
      <c r="S293">
        <v>2000000</v>
      </c>
      <c r="T293" t="s">
        <v>558</v>
      </c>
      <c r="U293" t="s">
        <v>189</v>
      </c>
      <c r="W293">
        <v>525</v>
      </c>
      <c r="X293" t="b">
        <v>0</v>
      </c>
    </row>
    <row r="294" spans="1:24" x14ac:dyDescent="0.25">
      <c r="A294">
        <v>293</v>
      </c>
      <c r="B294" t="s">
        <v>560</v>
      </c>
      <c r="C294">
        <v>5</v>
      </c>
      <c r="D294">
        <v>15</v>
      </c>
      <c r="E294">
        <v>99</v>
      </c>
      <c r="F294">
        <v>1</v>
      </c>
      <c r="G294" t="s">
        <v>112</v>
      </c>
      <c r="H294">
        <v>4</v>
      </c>
      <c r="I294" t="s">
        <v>112</v>
      </c>
      <c r="J294">
        <v>593</v>
      </c>
      <c r="K294">
        <v>2194</v>
      </c>
      <c r="L294">
        <v>1</v>
      </c>
      <c r="M294">
        <v>345</v>
      </c>
      <c r="N294">
        <v>863</v>
      </c>
      <c r="O294">
        <v>1.5</v>
      </c>
      <c r="P294">
        <v>155</v>
      </c>
      <c r="Q294">
        <v>310</v>
      </c>
      <c r="R294">
        <v>1.5</v>
      </c>
      <c r="S294">
        <v>3000000</v>
      </c>
      <c r="T294" t="s">
        <v>562</v>
      </c>
      <c r="U294" t="s">
        <v>189</v>
      </c>
      <c r="V294" t="s">
        <v>561</v>
      </c>
      <c r="W294">
        <v>750</v>
      </c>
      <c r="X294" t="b">
        <v>0</v>
      </c>
    </row>
    <row r="295" spans="1:24" x14ac:dyDescent="0.25">
      <c r="A295">
        <v>294</v>
      </c>
      <c r="B295" t="s">
        <v>563</v>
      </c>
      <c r="C295">
        <v>3</v>
      </c>
      <c r="D295">
        <v>5</v>
      </c>
      <c r="E295">
        <v>15</v>
      </c>
      <c r="F295">
        <v>2</v>
      </c>
      <c r="G295" t="s">
        <v>112</v>
      </c>
      <c r="H295">
        <v>4</v>
      </c>
      <c r="I295" t="s">
        <v>112</v>
      </c>
      <c r="J295">
        <v>230</v>
      </c>
      <c r="K295">
        <v>483</v>
      </c>
      <c r="L295">
        <v>1</v>
      </c>
      <c r="M295">
        <v>80</v>
      </c>
      <c r="N295">
        <v>160</v>
      </c>
      <c r="O295">
        <v>1</v>
      </c>
      <c r="P295">
        <v>46</v>
      </c>
      <c r="Q295">
        <v>92</v>
      </c>
      <c r="R295">
        <v>1</v>
      </c>
      <c r="S295">
        <v>1500000</v>
      </c>
      <c r="T295" t="s">
        <v>564</v>
      </c>
      <c r="U295" t="s">
        <v>501</v>
      </c>
      <c r="W295">
        <v>437.5</v>
      </c>
      <c r="X295" t="b">
        <v>0</v>
      </c>
    </row>
    <row r="296" spans="1:24" x14ac:dyDescent="0.25">
      <c r="A296">
        <v>295</v>
      </c>
      <c r="B296" t="s">
        <v>565</v>
      </c>
      <c r="C296">
        <v>4</v>
      </c>
      <c r="D296">
        <v>10</v>
      </c>
      <c r="E296">
        <v>35</v>
      </c>
      <c r="F296">
        <v>2</v>
      </c>
      <c r="G296" t="s">
        <v>112</v>
      </c>
      <c r="H296">
        <v>4</v>
      </c>
      <c r="I296" t="s">
        <v>112</v>
      </c>
      <c r="J296">
        <v>386</v>
      </c>
      <c r="K296">
        <v>811</v>
      </c>
      <c r="L296">
        <v>1</v>
      </c>
      <c r="M296">
        <v>144</v>
      </c>
      <c r="N296">
        <v>360</v>
      </c>
      <c r="O296">
        <v>1</v>
      </c>
      <c r="P296">
        <v>83</v>
      </c>
      <c r="Q296">
        <v>166</v>
      </c>
      <c r="R296">
        <v>1</v>
      </c>
      <c r="S296">
        <v>2000000</v>
      </c>
      <c r="T296" t="s">
        <v>564</v>
      </c>
      <c r="U296" t="s">
        <v>501</v>
      </c>
      <c r="W296">
        <v>525</v>
      </c>
      <c r="X296" t="b">
        <v>0</v>
      </c>
    </row>
    <row r="297" spans="1:24" x14ac:dyDescent="0.25">
      <c r="A297">
        <v>296</v>
      </c>
      <c r="B297" t="s">
        <v>566</v>
      </c>
      <c r="C297">
        <v>5</v>
      </c>
      <c r="D297">
        <v>15</v>
      </c>
      <c r="E297">
        <v>99</v>
      </c>
      <c r="F297">
        <v>2</v>
      </c>
      <c r="G297" t="s">
        <v>112</v>
      </c>
      <c r="H297">
        <v>4</v>
      </c>
      <c r="I297" t="s">
        <v>112</v>
      </c>
      <c r="J297">
        <v>649</v>
      </c>
      <c r="K297">
        <v>2401</v>
      </c>
      <c r="L297">
        <v>1</v>
      </c>
      <c r="M297">
        <v>324</v>
      </c>
      <c r="N297">
        <v>810</v>
      </c>
      <c r="O297">
        <v>1.5</v>
      </c>
      <c r="P297">
        <v>149</v>
      </c>
      <c r="Q297">
        <v>298</v>
      </c>
      <c r="R297">
        <v>1.5</v>
      </c>
      <c r="S297">
        <v>3000000</v>
      </c>
      <c r="T297" t="s">
        <v>568</v>
      </c>
      <c r="U297" t="s">
        <v>501</v>
      </c>
      <c r="V297" t="s">
        <v>567</v>
      </c>
      <c r="W297">
        <v>750</v>
      </c>
      <c r="X297" t="b">
        <v>0</v>
      </c>
    </row>
    <row r="298" spans="1:24" x14ac:dyDescent="0.25">
      <c r="A298">
        <v>297</v>
      </c>
      <c r="B298" t="s">
        <v>569</v>
      </c>
      <c r="C298">
        <v>3</v>
      </c>
      <c r="D298">
        <v>5</v>
      </c>
      <c r="E298">
        <v>15</v>
      </c>
      <c r="F298">
        <v>3</v>
      </c>
      <c r="G298" t="s">
        <v>112</v>
      </c>
      <c r="H298">
        <v>4</v>
      </c>
      <c r="I298" t="s">
        <v>112</v>
      </c>
      <c r="J298">
        <v>208</v>
      </c>
      <c r="K298">
        <v>437</v>
      </c>
      <c r="L298">
        <v>1</v>
      </c>
      <c r="M298">
        <v>77</v>
      </c>
      <c r="N298">
        <v>154</v>
      </c>
      <c r="O298">
        <v>1</v>
      </c>
      <c r="P298">
        <v>60</v>
      </c>
      <c r="Q298">
        <v>111</v>
      </c>
      <c r="R298">
        <v>1</v>
      </c>
      <c r="S298">
        <v>1500000</v>
      </c>
      <c r="T298" t="s">
        <v>570</v>
      </c>
      <c r="U298" t="s">
        <v>195</v>
      </c>
      <c r="W298">
        <v>437.5</v>
      </c>
      <c r="X298" t="b">
        <v>0</v>
      </c>
    </row>
    <row r="299" spans="1:24" x14ac:dyDescent="0.25">
      <c r="A299">
        <v>298</v>
      </c>
      <c r="B299" t="s">
        <v>571</v>
      </c>
      <c r="C299">
        <v>4</v>
      </c>
      <c r="D299">
        <v>10</v>
      </c>
      <c r="E299">
        <v>35</v>
      </c>
      <c r="F299">
        <v>3</v>
      </c>
      <c r="G299" t="s">
        <v>112</v>
      </c>
      <c r="H299">
        <v>4</v>
      </c>
      <c r="I299" t="s">
        <v>112</v>
      </c>
      <c r="J299">
        <v>350</v>
      </c>
      <c r="K299">
        <v>735</v>
      </c>
      <c r="L299">
        <v>1</v>
      </c>
      <c r="M299">
        <v>139</v>
      </c>
      <c r="N299">
        <v>348</v>
      </c>
      <c r="O299">
        <v>1</v>
      </c>
      <c r="P299">
        <v>100</v>
      </c>
      <c r="Q299">
        <v>200</v>
      </c>
      <c r="R299">
        <v>1</v>
      </c>
      <c r="S299">
        <v>2000000</v>
      </c>
      <c r="T299" t="s">
        <v>570</v>
      </c>
      <c r="U299" t="s">
        <v>195</v>
      </c>
      <c r="W299">
        <v>525</v>
      </c>
      <c r="X299" t="b">
        <v>0</v>
      </c>
    </row>
    <row r="300" spans="1:24" x14ac:dyDescent="0.25">
      <c r="A300">
        <v>299</v>
      </c>
      <c r="B300" t="s">
        <v>572</v>
      </c>
      <c r="C300">
        <v>5</v>
      </c>
      <c r="D300">
        <v>15</v>
      </c>
      <c r="E300">
        <v>99</v>
      </c>
      <c r="F300">
        <v>3</v>
      </c>
      <c r="G300" t="s">
        <v>112</v>
      </c>
      <c r="H300">
        <v>4</v>
      </c>
      <c r="I300" t="s">
        <v>112</v>
      </c>
      <c r="J300">
        <v>588</v>
      </c>
      <c r="K300">
        <v>2176</v>
      </c>
      <c r="L300">
        <v>1</v>
      </c>
      <c r="M300">
        <v>313</v>
      </c>
      <c r="N300">
        <v>783</v>
      </c>
      <c r="O300">
        <v>1.5</v>
      </c>
      <c r="P300">
        <v>180</v>
      </c>
      <c r="Q300">
        <v>360</v>
      </c>
      <c r="R300">
        <v>1.5</v>
      </c>
      <c r="S300">
        <v>3000000</v>
      </c>
      <c r="T300" t="s">
        <v>574</v>
      </c>
      <c r="U300" t="s">
        <v>195</v>
      </c>
      <c r="V300" t="s">
        <v>573</v>
      </c>
      <c r="W300">
        <v>750</v>
      </c>
      <c r="X300" t="b">
        <v>0</v>
      </c>
    </row>
    <row r="301" spans="1:24" x14ac:dyDescent="0.25">
      <c r="A301">
        <v>300</v>
      </c>
      <c r="B301" t="s">
        <v>575</v>
      </c>
      <c r="C301">
        <v>3</v>
      </c>
      <c r="D301">
        <v>5</v>
      </c>
      <c r="E301">
        <v>15</v>
      </c>
      <c r="F301">
        <v>4</v>
      </c>
      <c r="G301" t="s">
        <v>112</v>
      </c>
      <c r="H301">
        <v>4</v>
      </c>
      <c r="I301" t="s">
        <v>112</v>
      </c>
      <c r="J301">
        <v>200</v>
      </c>
      <c r="K301">
        <v>420</v>
      </c>
      <c r="L301">
        <v>1</v>
      </c>
      <c r="M301">
        <v>82</v>
      </c>
      <c r="N301">
        <v>164</v>
      </c>
      <c r="O301">
        <v>1</v>
      </c>
      <c r="P301">
        <v>55</v>
      </c>
      <c r="Q301">
        <v>105</v>
      </c>
      <c r="R301">
        <v>1</v>
      </c>
      <c r="S301">
        <v>1500000</v>
      </c>
      <c r="T301" t="s">
        <v>576</v>
      </c>
      <c r="U301" t="s">
        <v>577</v>
      </c>
      <c r="W301">
        <v>437.5</v>
      </c>
      <c r="X301" t="b">
        <v>0</v>
      </c>
    </row>
    <row r="302" spans="1:24" x14ac:dyDescent="0.25">
      <c r="A302">
        <v>301</v>
      </c>
      <c r="B302" t="s">
        <v>578</v>
      </c>
      <c r="C302">
        <v>4</v>
      </c>
      <c r="D302">
        <v>10</v>
      </c>
      <c r="E302">
        <v>35</v>
      </c>
      <c r="F302">
        <v>4</v>
      </c>
      <c r="G302" t="s">
        <v>112</v>
      </c>
      <c r="H302">
        <v>4</v>
      </c>
      <c r="I302" t="s">
        <v>112</v>
      </c>
      <c r="J302">
        <v>336</v>
      </c>
      <c r="K302">
        <v>706</v>
      </c>
      <c r="L302">
        <v>1</v>
      </c>
      <c r="M302">
        <v>148</v>
      </c>
      <c r="N302">
        <v>370</v>
      </c>
      <c r="O302">
        <v>1</v>
      </c>
      <c r="P302">
        <v>95</v>
      </c>
      <c r="Q302">
        <v>190</v>
      </c>
      <c r="R302">
        <v>1</v>
      </c>
      <c r="S302">
        <v>2000000</v>
      </c>
      <c r="T302" t="s">
        <v>576</v>
      </c>
      <c r="U302" t="s">
        <v>577</v>
      </c>
      <c r="W302">
        <v>525</v>
      </c>
      <c r="X302" t="b">
        <v>0</v>
      </c>
    </row>
    <row r="303" spans="1:24" x14ac:dyDescent="0.25">
      <c r="A303">
        <v>302</v>
      </c>
      <c r="B303" t="s">
        <v>579</v>
      </c>
      <c r="C303">
        <v>5</v>
      </c>
      <c r="D303">
        <v>15</v>
      </c>
      <c r="E303">
        <v>99</v>
      </c>
      <c r="F303">
        <v>4</v>
      </c>
      <c r="G303" t="s">
        <v>112</v>
      </c>
      <c r="H303">
        <v>4</v>
      </c>
      <c r="I303">
        <v>7</v>
      </c>
      <c r="J303">
        <v>565</v>
      </c>
      <c r="K303">
        <v>2091</v>
      </c>
      <c r="L303">
        <v>1</v>
      </c>
      <c r="M303">
        <v>333</v>
      </c>
      <c r="N303">
        <v>833</v>
      </c>
      <c r="O303">
        <v>1.5</v>
      </c>
      <c r="P303">
        <v>171</v>
      </c>
      <c r="Q303">
        <v>342</v>
      </c>
      <c r="R303">
        <v>1.5</v>
      </c>
      <c r="S303">
        <v>3000000</v>
      </c>
      <c r="T303" t="s">
        <v>581</v>
      </c>
      <c r="U303" t="s">
        <v>577</v>
      </c>
      <c r="V303" t="s">
        <v>580</v>
      </c>
      <c r="W303">
        <v>750</v>
      </c>
      <c r="X303" t="b">
        <v>0</v>
      </c>
    </row>
    <row r="304" spans="1:24" x14ac:dyDescent="0.25">
      <c r="A304">
        <v>303</v>
      </c>
      <c r="B304" t="s">
        <v>582</v>
      </c>
      <c r="C304">
        <v>2</v>
      </c>
      <c r="D304">
        <v>4</v>
      </c>
      <c r="E304">
        <v>10</v>
      </c>
      <c r="F304">
        <v>0</v>
      </c>
      <c r="G304" t="s">
        <v>112</v>
      </c>
      <c r="H304">
        <v>14</v>
      </c>
      <c r="I304" t="s">
        <v>112</v>
      </c>
      <c r="J304">
        <v>86</v>
      </c>
      <c r="K304">
        <v>258</v>
      </c>
      <c r="L304">
        <v>0.7</v>
      </c>
      <c r="M304">
        <v>90</v>
      </c>
      <c r="N304">
        <v>180</v>
      </c>
      <c r="O304">
        <v>0.7</v>
      </c>
      <c r="P304">
        <v>63</v>
      </c>
      <c r="Q304">
        <v>126</v>
      </c>
      <c r="R304">
        <v>0.7</v>
      </c>
      <c r="S304">
        <v>1000000</v>
      </c>
      <c r="T304" t="s">
        <v>112</v>
      </c>
      <c r="U304" t="s">
        <v>112</v>
      </c>
      <c r="W304">
        <v>600</v>
      </c>
      <c r="X304" t="b">
        <v>0</v>
      </c>
    </row>
    <row r="305" spans="1:24" x14ac:dyDescent="0.25">
      <c r="A305">
        <v>304</v>
      </c>
      <c r="B305" t="s">
        <v>583</v>
      </c>
      <c r="C305">
        <v>3</v>
      </c>
      <c r="D305">
        <v>5</v>
      </c>
      <c r="E305">
        <v>1</v>
      </c>
      <c r="F305">
        <v>0</v>
      </c>
      <c r="G305" t="s">
        <v>112</v>
      </c>
      <c r="H305">
        <v>14</v>
      </c>
      <c r="I305" t="s">
        <v>112</v>
      </c>
      <c r="J305">
        <v>387</v>
      </c>
      <c r="K305">
        <v>387</v>
      </c>
      <c r="L305">
        <v>0.7</v>
      </c>
      <c r="M305">
        <v>270</v>
      </c>
      <c r="N305">
        <v>270</v>
      </c>
      <c r="O305">
        <v>0.7</v>
      </c>
      <c r="P305">
        <v>189</v>
      </c>
      <c r="Q305">
        <v>189</v>
      </c>
      <c r="R305">
        <v>0.7</v>
      </c>
      <c r="S305">
        <v>1000000</v>
      </c>
      <c r="T305" t="s">
        <v>112</v>
      </c>
      <c r="U305" t="s">
        <v>112</v>
      </c>
      <c r="W305">
        <v>30000</v>
      </c>
      <c r="X305" t="b">
        <v>0</v>
      </c>
    </row>
    <row r="306" spans="1:24" x14ac:dyDescent="0.25">
      <c r="A306">
        <v>305</v>
      </c>
      <c r="B306" t="s">
        <v>584</v>
      </c>
      <c r="C306">
        <v>2</v>
      </c>
      <c r="D306">
        <v>4</v>
      </c>
      <c r="E306">
        <v>10</v>
      </c>
      <c r="F306">
        <v>1</v>
      </c>
      <c r="G306" t="s">
        <v>112</v>
      </c>
      <c r="H306">
        <v>14</v>
      </c>
      <c r="I306" t="s">
        <v>112</v>
      </c>
      <c r="J306">
        <v>83</v>
      </c>
      <c r="K306">
        <v>249</v>
      </c>
      <c r="L306">
        <v>0.7</v>
      </c>
      <c r="M306">
        <v>95</v>
      </c>
      <c r="N306">
        <v>190</v>
      </c>
      <c r="O306">
        <v>0.7</v>
      </c>
      <c r="P306">
        <v>60</v>
      </c>
      <c r="Q306">
        <v>120</v>
      </c>
      <c r="R306">
        <v>0.7</v>
      </c>
      <c r="S306">
        <v>1000000</v>
      </c>
      <c r="T306" t="s">
        <v>112</v>
      </c>
      <c r="U306" t="s">
        <v>112</v>
      </c>
      <c r="W306">
        <v>600</v>
      </c>
      <c r="X306" t="b">
        <v>0</v>
      </c>
    </row>
    <row r="307" spans="1:24" x14ac:dyDescent="0.25">
      <c r="A307">
        <v>306</v>
      </c>
      <c r="B307" t="s">
        <v>585</v>
      </c>
      <c r="C307">
        <v>3</v>
      </c>
      <c r="D307">
        <v>5</v>
      </c>
      <c r="E307">
        <v>1</v>
      </c>
      <c r="F307">
        <v>1</v>
      </c>
      <c r="G307" t="s">
        <v>112</v>
      </c>
      <c r="H307">
        <v>14</v>
      </c>
      <c r="I307" t="s">
        <v>112</v>
      </c>
      <c r="J307">
        <v>374</v>
      </c>
      <c r="K307">
        <v>374</v>
      </c>
      <c r="L307">
        <v>0.7</v>
      </c>
      <c r="M307">
        <v>285</v>
      </c>
      <c r="N307">
        <v>285</v>
      </c>
      <c r="O307">
        <v>0.7</v>
      </c>
      <c r="P307">
        <v>180</v>
      </c>
      <c r="Q307">
        <v>180</v>
      </c>
      <c r="R307">
        <v>0.7</v>
      </c>
      <c r="S307">
        <v>1000000</v>
      </c>
      <c r="T307" t="s">
        <v>112</v>
      </c>
      <c r="U307" t="s">
        <v>112</v>
      </c>
      <c r="W307">
        <v>30000</v>
      </c>
      <c r="X307" t="b">
        <v>0</v>
      </c>
    </row>
    <row r="308" spans="1:24" x14ac:dyDescent="0.25">
      <c r="A308">
        <v>307</v>
      </c>
      <c r="B308" t="s">
        <v>586</v>
      </c>
      <c r="C308">
        <v>2</v>
      </c>
      <c r="D308">
        <v>4</v>
      </c>
      <c r="E308">
        <v>10</v>
      </c>
      <c r="F308">
        <v>2</v>
      </c>
      <c r="G308" t="s">
        <v>112</v>
      </c>
      <c r="H308">
        <v>14</v>
      </c>
      <c r="I308" t="s">
        <v>112</v>
      </c>
      <c r="J308">
        <v>80</v>
      </c>
      <c r="K308">
        <v>240</v>
      </c>
      <c r="L308">
        <v>0.7</v>
      </c>
      <c r="M308">
        <v>92</v>
      </c>
      <c r="N308">
        <v>184</v>
      </c>
      <c r="O308">
        <v>0.7</v>
      </c>
      <c r="P308">
        <v>66</v>
      </c>
      <c r="Q308">
        <v>132</v>
      </c>
      <c r="R308">
        <v>0.7</v>
      </c>
      <c r="S308">
        <v>1000000</v>
      </c>
      <c r="T308" t="s">
        <v>112</v>
      </c>
      <c r="U308" t="s">
        <v>112</v>
      </c>
      <c r="W308">
        <v>600</v>
      </c>
      <c r="X308" t="b">
        <v>0</v>
      </c>
    </row>
    <row r="309" spans="1:24" x14ac:dyDescent="0.25">
      <c r="A309">
        <v>308</v>
      </c>
      <c r="B309" t="s">
        <v>587</v>
      </c>
      <c r="C309">
        <v>3</v>
      </c>
      <c r="D309">
        <v>5</v>
      </c>
      <c r="E309">
        <v>1</v>
      </c>
      <c r="F309">
        <v>2</v>
      </c>
      <c r="G309" t="s">
        <v>112</v>
      </c>
      <c r="H309">
        <v>14</v>
      </c>
      <c r="I309" t="s">
        <v>112</v>
      </c>
      <c r="J309">
        <v>360</v>
      </c>
      <c r="K309">
        <v>360</v>
      </c>
      <c r="L309">
        <v>0.7</v>
      </c>
      <c r="M309">
        <v>276</v>
      </c>
      <c r="N309">
        <v>276</v>
      </c>
      <c r="O309">
        <v>0.7</v>
      </c>
      <c r="P309">
        <v>198</v>
      </c>
      <c r="Q309">
        <v>198</v>
      </c>
      <c r="R309">
        <v>0.7</v>
      </c>
      <c r="S309">
        <v>1000000</v>
      </c>
      <c r="T309" t="s">
        <v>112</v>
      </c>
      <c r="U309" t="s">
        <v>112</v>
      </c>
      <c r="W309">
        <v>30000</v>
      </c>
      <c r="X309" t="b">
        <v>0</v>
      </c>
    </row>
    <row r="310" spans="1:24" x14ac:dyDescent="0.25">
      <c r="A310">
        <v>309</v>
      </c>
      <c r="B310" t="s">
        <v>588</v>
      </c>
      <c r="C310">
        <v>6</v>
      </c>
      <c r="D310">
        <v>1</v>
      </c>
      <c r="E310">
        <v>1</v>
      </c>
      <c r="F310">
        <v>3</v>
      </c>
      <c r="G310" t="s">
        <v>112</v>
      </c>
      <c r="H310">
        <v>14</v>
      </c>
      <c r="I310" t="s">
        <v>112</v>
      </c>
      <c r="J310">
        <v>1000</v>
      </c>
      <c r="K310">
        <v>1000</v>
      </c>
      <c r="L310">
        <v>0.7</v>
      </c>
      <c r="M310">
        <v>500</v>
      </c>
      <c r="N310">
        <v>500</v>
      </c>
      <c r="O310">
        <v>0.7</v>
      </c>
      <c r="P310">
        <v>100</v>
      </c>
      <c r="Q310">
        <v>100</v>
      </c>
      <c r="R310">
        <v>0.7</v>
      </c>
      <c r="S310">
        <v>2000000</v>
      </c>
      <c r="T310" t="s">
        <v>112</v>
      </c>
      <c r="U310" t="s">
        <v>112</v>
      </c>
      <c r="W310">
        <v>100000</v>
      </c>
      <c r="X310" t="b">
        <v>0</v>
      </c>
    </row>
    <row r="311" spans="1:24" x14ac:dyDescent="0.25">
      <c r="A311">
        <v>310</v>
      </c>
      <c r="B311" t="s">
        <v>589</v>
      </c>
      <c r="C311">
        <v>4</v>
      </c>
      <c r="D311">
        <v>11</v>
      </c>
      <c r="E311">
        <v>50</v>
      </c>
      <c r="F311">
        <v>0</v>
      </c>
      <c r="G311">
        <v>1</v>
      </c>
      <c r="H311">
        <v>2</v>
      </c>
      <c r="I311">
        <v>7</v>
      </c>
      <c r="J311">
        <v>504</v>
      </c>
      <c r="K311">
        <v>1875</v>
      </c>
      <c r="L311">
        <v>1</v>
      </c>
      <c r="M311">
        <v>284</v>
      </c>
      <c r="N311">
        <v>888</v>
      </c>
      <c r="O311">
        <v>1</v>
      </c>
      <c r="P311">
        <v>5</v>
      </c>
      <c r="Q311">
        <v>8</v>
      </c>
      <c r="R311">
        <v>1</v>
      </c>
      <c r="S311">
        <v>1500000</v>
      </c>
      <c r="T311" t="s">
        <v>218</v>
      </c>
      <c r="U311" t="s">
        <v>590</v>
      </c>
      <c r="V311" t="s">
        <v>220</v>
      </c>
      <c r="W311">
        <v>562.5</v>
      </c>
      <c r="X311" t="b">
        <v>0</v>
      </c>
    </row>
    <row r="312" spans="1:24" x14ac:dyDescent="0.25">
      <c r="A312">
        <v>311</v>
      </c>
      <c r="B312" t="s">
        <v>591</v>
      </c>
      <c r="C312">
        <v>4</v>
      </c>
      <c r="D312">
        <v>11</v>
      </c>
      <c r="E312">
        <v>50</v>
      </c>
      <c r="F312">
        <v>0</v>
      </c>
      <c r="G312">
        <v>2</v>
      </c>
      <c r="H312">
        <v>2</v>
      </c>
      <c r="I312">
        <v>7</v>
      </c>
      <c r="J312">
        <v>504</v>
      </c>
      <c r="K312">
        <v>1875</v>
      </c>
      <c r="L312">
        <v>1</v>
      </c>
      <c r="M312">
        <v>284</v>
      </c>
      <c r="N312">
        <v>888</v>
      </c>
      <c r="O312">
        <v>1</v>
      </c>
      <c r="P312">
        <v>5</v>
      </c>
      <c r="Q312">
        <v>8</v>
      </c>
      <c r="R312">
        <v>1</v>
      </c>
      <c r="S312">
        <v>1500000</v>
      </c>
      <c r="T312" t="s">
        <v>218</v>
      </c>
      <c r="U312" t="s">
        <v>592</v>
      </c>
      <c r="V312" t="s">
        <v>220</v>
      </c>
      <c r="W312">
        <v>562.5</v>
      </c>
      <c r="X312" t="b">
        <v>0</v>
      </c>
    </row>
    <row r="313" spans="1:24" x14ac:dyDescent="0.25">
      <c r="A313">
        <v>312</v>
      </c>
      <c r="B313" t="s">
        <v>593</v>
      </c>
      <c r="C313">
        <v>4</v>
      </c>
      <c r="D313">
        <v>11</v>
      </c>
      <c r="E313">
        <v>50</v>
      </c>
      <c r="F313">
        <v>1</v>
      </c>
      <c r="G313">
        <v>0</v>
      </c>
      <c r="H313">
        <v>2</v>
      </c>
      <c r="I313">
        <v>7</v>
      </c>
      <c r="J313">
        <v>498</v>
      </c>
      <c r="K313">
        <v>2000</v>
      </c>
      <c r="L313">
        <v>1</v>
      </c>
      <c r="M313">
        <v>277</v>
      </c>
      <c r="N313">
        <v>875</v>
      </c>
      <c r="O313">
        <v>1</v>
      </c>
      <c r="P313">
        <v>5</v>
      </c>
      <c r="Q313">
        <v>8</v>
      </c>
      <c r="R313">
        <v>1</v>
      </c>
      <c r="S313">
        <v>1500000</v>
      </c>
      <c r="T313" t="s">
        <v>218</v>
      </c>
      <c r="U313" t="s">
        <v>594</v>
      </c>
      <c r="V313" t="s">
        <v>220</v>
      </c>
      <c r="W313">
        <v>562.5</v>
      </c>
      <c r="X313" t="b">
        <v>0</v>
      </c>
    </row>
    <row r="314" spans="1:24" x14ac:dyDescent="0.25">
      <c r="A314">
        <v>313</v>
      </c>
      <c r="B314" t="s">
        <v>595</v>
      </c>
      <c r="C314">
        <v>4</v>
      </c>
      <c r="D314">
        <v>11</v>
      </c>
      <c r="E314">
        <v>50</v>
      </c>
      <c r="F314">
        <v>1</v>
      </c>
      <c r="G314">
        <v>2</v>
      </c>
      <c r="H314">
        <v>2</v>
      </c>
      <c r="I314">
        <v>7</v>
      </c>
      <c r="J314">
        <v>498</v>
      </c>
      <c r="K314">
        <v>2000</v>
      </c>
      <c r="L314">
        <v>1</v>
      </c>
      <c r="M314">
        <v>277</v>
      </c>
      <c r="N314">
        <v>875</v>
      </c>
      <c r="O314">
        <v>1</v>
      </c>
      <c r="P314">
        <v>5</v>
      </c>
      <c r="Q314">
        <v>8</v>
      </c>
      <c r="R314">
        <v>1</v>
      </c>
      <c r="S314">
        <v>1500000</v>
      </c>
      <c r="T314" t="s">
        <v>218</v>
      </c>
      <c r="U314" t="s">
        <v>592</v>
      </c>
      <c r="V314" t="s">
        <v>220</v>
      </c>
      <c r="W314">
        <v>562.5</v>
      </c>
      <c r="X314" t="b">
        <v>0</v>
      </c>
    </row>
    <row r="315" spans="1:24" x14ac:dyDescent="0.25">
      <c r="A315">
        <v>314</v>
      </c>
      <c r="B315" t="s">
        <v>596</v>
      </c>
      <c r="C315">
        <v>4</v>
      </c>
      <c r="D315">
        <v>11</v>
      </c>
      <c r="E315">
        <v>50</v>
      </c>
      <c r="F315">
        <v>2</v>
      </c>
      <c r="G315">
        <v>0</v>
      </c>
      <c r="H315">
        <v>2</v>
      </c>
      <c r="I315">
        <v>7</v>
      </c>
      <c r="J315">
        <v>492</v>
      </c>
      <c r="K315">
        <v>1938</v>
      </c>
      <c r="L315">
        <v>1</v>
      </c>
      <c r="M315">
        <v>266</v>
      </c>
      <c r="N315">
        <v>856</v>
      </c>
      <c r="O315">
        <v>1</v>
      </c>
      <c r="P315">
        <v>5</v>
      </c>
      <c r="Q315">
        <v>8</v>
      </c>
      <c r="R315">
        <v>1</v>
      </c>
      <c r="S315">
        <v>1500000</v>
      </c>
      <c r="T315" t="s">
        <v>218</v>
      </c>
      <c r="U315" t="s">
        <v>594</v>
      </c>
      <c r="V315" t="s">
        <v>220</v>
      </c>
      <c r="W315">
        <v>562.5</v>
      </c>
      <c r="X315" t="b">
        <v>0</v>
      </c>
    </row>
    <row r="316" spans="1:24" x14ac:dyDescent="0.25">
      <c r="A316">
        <v>315</v>
      </c>
      <c r="B316" t="s">
        <v>597</v>
      </c>
      <c r="C316">
        <v>4</v>
      </c>
      <c r="D316">
        <v>11</v>
      </c>
      <c r="E316">
        <v>50</v>
      </c>
      <c r="F316">
        <v>2</v>
      </c>
      <c r="G316">
        <v>1</v>
      </c>
      <c r="H316">
        <v>2</v>
      </c>
      <c r="I316">
        <v>7</v>
      </c>
      <c r="J316">
        <v>492</v>
      </c>
      <c r="K316">
        <v>1938</v>
      </c>
      <c r="L316">
        <v>1</v>
      </c>
      <c r="M316">
        <v>266</v>
      </c>
      <c r="N316">
        <v>856</v>
      </c>
      <c r="O316">
        <v>1</v>
      </c>
      <c r="P316">
        <v>5</v>
      </c>
      <c r="Q316">
        <v>8</v>
      </c>
      <c r="R316">
        <v>1</v>
      </c>
      <c r="S316">
        <v>1500000</v>
      </c>
      <c r="T316" t="s">
        <v>218</v>
      </c>
      <c r="U316" t="s">
        <v>590</v>
      </c>
      <c r="V316" t="s">
        <v>220</v>
      </c>
      <c r="W316">
        <v>562.5</v>
      </c>
      <c r="X316" t="b">
        <v>0</v>
      </c>
    </row>
    <row r="317" spans="1:24" x14ac:dyDescent="0.25">
      <c r="A317">
        <v>316</v>
      </c>
      <c r="B317" t="s">
        <v>2175</v>
      </c>
      <c r="C317">
        <v>5</v>
      </c>
      <c r="D317">
        <v>17</v>
      </c>
      <c r="E317">
        <v>99</v>
      </c>
      <c r="F317">
        <v>0</v>
      </c>
      <c r="G317" t="s">
        <v>112</v>
      </c>
      <c r="H317">
        <v>2</v>
      </c>
      <c r="I317" t="s">
        <v>112</v>
      </c>
      <c r="J317">
        <v>2114</v>
      </c>
      <c r="K317">
        <v>5074</v>
      </c>
      <c r="L317">
        <v>1</v>
      </c>
      <c r="M317">
        <v>704</v>
      </c>
      <c r="N317">
        <v>915</v>
      </c>
      <c r="O317">
        <v>1</v>
      </c>
      <c r="P317">
        <v>3</v>
      </c>
      <c r="Q317">
        <v>6</v>
      </c>
      <c r="R317">
        <v>1</v>
      </c>
      <c r="S317">
        <v>3000000</v>
      </c>
      <c r="T317" t="s">
        <v>599</v>
      </c>
      <c r="U317" t="s">
        <v>238</v>
      </c>
      <c r="V317" t="s">
        <v>598</v>
      </c>
      <c r="W317">
        <v>825</v>
      </c>
      <c r="X317" t="b">
        <v>0</v>
      </c>
    </row>
    <row r="318" spans="1:24" x14ac:dyDescent="0.25">
      <c r="A318">
        <v>317</v>
      </c>
      <c r="B318" t="s">
        <v>2176</v>
      </c>
      <c r="C318">
        <v>5</v>
      </c>
      <c r="D318">
        <v>17</v>
      </c>
      <c r="E318">
        <v>99</v>
      </c>
      <c r="F318">
        <v>1</v>
      </c>
      <c r="G318" t="s">
        <v>112</v>
      </c>
      <c r="H318">
        <v>2</v>
      </c>
      <c r="I318" t="s">
        <v>112</v>
      </c>
      <c r="J318">
        <v>2128</v>
      </c>
      <c r="K318">
        <v>5107</v>
      </c>
      <c r="L318">
        <v>1</v>
      </c>
      <c r="M318">
        <v>689</v>
      </c>
      <c r="N318">
        <v>896</v>
      </c>
      <c r="O318">
        <v>1</v>
      </c>
      <c r="P318">
        <v>4</v>
      </c>
      <c r="Q318">
        <v>8</v>
      </c>
      <c r="R318">
        <v>1</v>
      </c>
      <c r="S318">
        <v>3000000</v>
      </c>
      <c r="T318" t="s">
        <v>601</v>
      </c>
      <c r="U318" t="s">
        <v>238</v>
      </c>
      <c r="V318" t="s">
        <v>600</v>
      </c>
      <c r="W318">
        <v>825</v>
      </c>
      <c r="X318" t="b">
        <v>0</v>
      </c>
    </row>
    <row r="319" spans="1:24" x14ac:dyDescent="0.25">
      <c r="A319">
        <v>318</v>
      </c>
      <c r="B319" t="s">
        <v>2177</v>
      </c>
      <c r="C319">
        <v>5</v>
      </c>
      <c r="D319">
        <v>17</v>
      </c>
      <c r="E319">
        <v>99</v>
      </c>
      <c r="F319">
        <v>2</v>
      </c>
      <c r="G319" t="s">
        <v>112</v>
      </c>
      <c r="H319">
        <v>2</v>
      </c>
      <c r="I319" t="s">
        <v>112</v>
      </c>
      <c r="J319">
        <v>2120</v>
      </c>
      <c r="K319">
        <v>5088</v>
      </c>
      <c r="L319">
        <v>1</v>
      </c>
      <c r="M319">
        <v>698</v>
      </c>
      <c r="N319">
        <v>907</v>
      </c>
      <c r="O319">
        <v>1</v>
      </c>
      <c r="P319">
        <v>4</v>
      </c>
      <c r="Q319">
        <v>8</v>
      </c>
      <c r="R319">
        <v>1</v>
      </c>
      <c r="S319">
        <v>3000000</v>
      </c>
      <c r="T319" t="s">
        <v>603</v>
      </c>
      <c r="U319" t="s">
        <v>238</v>
      </c>
      <c r="V319" t="s">
        <v>602</v>
      </c>
      <c r="W319">
        <v>825</v>
      </c>
      <c r="X319" t="b">
        <v>0</v>
      </c>
    </row>
    <row r="320" spans="1:24" x14ac:dyDescent="0.25">
      <c r="A320">
        <v>319</v>
      </c>
      <c r="B320" t="s">
        <v>604</v>
      </c>
      <c r="C320">
        <v>5</v>
      </c>
      <c r="D320">
        <v>18</v>
      </c>
      <c r="E320">
        <v>99</v>
      </c>
      <c r="F320">
        <v>3</v>
      </c>
      <c r="G320" t="s">
        <v>112</v>
      </c>
      <c r="H320">
        <v>2</v>
      </c>
      <c r="I320" t="s">
        <v>112</v>
      </c>
      <c r="J320">
        <v>1654</v>
      </c>
      <c r="K320">
        <v>4135</v>
      </c>
      <c r="L320">
        <v>1</v>
      </c>
      <c r="M320">
        <v>835</v>
      </c>
      <c r="N320">
        <v>1086</v>
      </c>
      <c r="O320">
        <v>1</v>
      </c>
      <c r="P320">
        <v>5</v>
      </c>
      <c r="Q320">
        <v>10</v>
      </c>
      <c r="R320">
        <v>1</v>
      </c>
      <c r="S320">
        <v>3000000</v>
      </c>
      <c r="T320" t="s">
        <v>606</v>
      </c>
      <c r="U320" t="s">
        <v>245</v>
      </c>
      <c r="V320" t="s">
        <v>605</v>
      </c>
      <c r="W320">
        <v>862.5</v>
      </c>
      <c r="X320" t="b">
        <v>0</v>
      </c>
    </row>
    <row r="321" spans="1:24" x14ac:dyDescent="0.25">
      <c r="A321">
        <v>320</v>
      </c>
      <c r="B321" t="s">
        <v>607</v>
      </c>
      <c r="C321">
        <v>5</v>
      </c>
      <c r="D321">
        <v>18</v>
      </c>
      <c r="E321">
        <v>99</v>
      </c>
      <c r="F321">
        <v>4</v>
      </c>
      <c r="G321" t="s">
        <v>112</v>
      </c>
      <c r="H321">
        <v>2</v>
      </c>
      <c r="I321" t="s">
        <v>112</v>
      </c>
      <c r="J321">
        <v>1618</v>
      </c>
      <c r="K321">
        <v>4045</v>
      </c>
      <c r="L321">
        <v>1</v>
      </c>
      <c r="M321">
        <v>861</v>
      </c>
      <c r="N321">
        <v>1119</v>
      </c>
      <c r="O321">
        <v>1</v>
      </c>
      <c r="P321">
        <v>5</v>
      </c>
      <c r="Q321">
        <v>10</v>
      </c>
      <c r="R321">
        <v>1</v>
      </c>
      <c r="S321">
        <v>3000000</v>
      </c>
      <c r="T321" t="s">
        <v>609</v>
      </c>
      <c r="U321" t="s">
        <v>245</v>
      </c>
      <c r="V321" t="s">
        <v>608</v>
      </c>
      <c r="W321">
        <v>862.5</v>
      </c>
      <c r="X321" t="b">
        <v>0</v>
      </c>
    </row>
    <row r="322" spans="1:24" x14ac:dyDescent="0.25">
      <c r="A322">
        <v>321</v>
      </c>
      <c r="B322" t="s">
        <v>610</v>
      </c>
      <c r="C322">
        <v>6</v>
      </c>
      <c r="D322">
        <v>25</v>
      </c>
      <c r="E322">
        <v>1</v>
      </c>
      <c r="F322">
        <v>4</v>
      </c>
      <c r="G322" t="s">
        <v>112</v>
      </c>
      <c r="H322">
        <v>0</v>
      </c>
      <c r="I322" t="s">
        <v>112</v>
      </c>
      <c r="J322">
        <v>3126</v>
      </c>
      <c r="K322">
        <v>3126</v>
      </c>
      <c r="L322">
        <v>1</v>
      </c>
      <c r="M322">
        <v>1056</v>
      </c>
      <c r="N322">
        <v>1056</v>
      </c>
      <c r="O322">
        <v>1</v>
      </c>
      <c r="P322">
        <v>157</v>
      </c>
      <c r="Q322">
        <v>157</v>
      </c>
      <c r="R322">
        <v>1</v>
      </c>
      <c r="S322">
        <v>1500000</v>
      </c>
      <c r="T322" t="s">
        <v>237</v>
      </c>
      <c r="U322" t="s">
        <v>238</v>
      </c>
      <c r="W322">
        <v>10000</v>
      </c>
      <c r="X322" t="b">
        <v>0</v>
      </c>
    </row>
    <row r="323" spans="1:24" x14ac:dyDescent="0.25">
      <c r="A323">
        <v>322</v>
      </c>
      <c r="B323" t="s">
        <v>611</v>
      </c>
      <c r="C323">
        <v>6</v>
      </c>
      <c r="D323">
        <v>20</v>
      </c>
      <c r="E323">
        <v>99</v>
      </c>
      <c r="F323">
        <v>0</v>
      </c>
      <c r="G323">
        <v>1</v>
      </c>
      <c r="H323">
        <v>4</v>
      </c>
      <c r="I323" t="s">
        <v>112</v>
      </c>
      <c r="J323">
        <v>798</v>
      </c>
      <c r="K323">
        <v>2327</v>
      </c>
      <c r="L323">
        <v>1.5</v>
      </c>
      <c r="M323">
        <v>421</v>
      </c>
      <c r="N323">
        <v>1338</v>
      </c>
      <c r="O323">
        <v>1.5</v>
      </c>
      <c r="P323">
        <v>105</v>
      </c>
      <c r="Q323">
        <v>220</v>
      </c>
      <c r="R323">
        <v>1.5</v>
      </c>
      <c r="S323">
        <v>4000000</v>
      </c>
      <c r="T323" t="s">
        <v>612</v>
      </c>
      <c r="U323" t="s">
        <v>118</v>
      </c>
      <c r="V323" t="s">
        <v>288</v>
      </c>
      <c r="W323">
        <v>975</v>
      </c>
      <c r="X323" t="b">
        <v>0</v>
      </c>
    </row>
    <row r="324" spans="1:24" x14ac:dyDescent="0.25">
      <c r="A324">
        <v>323</v>
      </c>
      <c r="B324" t="s">
        <v>613</v>
      </c>
      <c r="C324">
        <v>6</v>
      </c>
      <c r="D324">
        <v>20</v>
      </c>
      <c r="E324">
        <v>99</v>
      </c>
      <c r="F324">
        <v>0</v>
      </c>
      <c r="G324">
        <v>2</v>
      </c>
      <c r="H324">
        <v>4</v>
      </c>
      <c r="I324" t="s">
        <v>112</v>
      </c>
      <c r="J324">
        <v>798</v>
      </c>
      <c r="K324">
        <v>2327</v>
      </c>
      <c r="L324">
        <v>1.5</v>
      </c>
      <c r="M324">
        <v>421</v>
      </c>
      <c r="N324">
        <v>1338</v>
      </c>
      <c r="O324">
        <v>1.5</v>
      </c>
      <c r="P324">
        <v>105</v>
      </c>
      <c r="Q324">
        <v>220</v>
      </c>
      <c r="R324">
        <v>1.5</v>
      </c>
      <c r="S324">
        <v>4000000</v>
      </c>
      <c r="T324" t="s">
        <v>614</v>
      </c>
      <c r="U324" t="s">
        <v>118</v>
      </c>
      <c r="V324" t="s">
        <v>288</v>
      </c>
      <c r="W324">
        <v>975</v>
      </c>
      <c r="X324" t="b">
        <v>0</v>
      </c>
    </row>
    <row r="325" spans="1:24" x14ac:dyDescent="0.25">
      <c r="A325">
        <v>324</v>
      </c>
      <c r="B325" t="s">
        <v>615</v>
      </c>
      <c r="C325">
        <v>6</v>
      </c>
      <c r="D325">
        <v>20</v>
      </c>
      <c r="E325">
        <v>99</v>
      </c>
      <c r="F325">
        <v>0</v>
      </c>
      <c r="G325">
        <v>3</v>
      </c>
      <c r="H325">
        <v>4</v>
      </c>
      <c r="I325" t="s">
        <v>112</v>
      </c>
      <c r="J325">
        <v>798</v>
      </c>
      <c r="K325">
        <v>2327</v>
      </c>
      <c r="L325">
        <v>1.5</v>
      </c>
      <c r="M325">
        <v>421</v>
      </c>
      <c r="N325">
        <v>1238</v>
      </c>
      <c r="O325">
        <v>1.5</v>
      </c>
      <c r="P325">
        <v>105</v>
      </c>
      <c r="Q325">
        <v>280</v>
      </c>
      <c r="R325">
        <v>1.5</v>
      </c>
      <c r="S325">
        <v>4000000</v>
      </c>
      <c r="T325" t="s">
        <v>616</v>
      </c>
      <c r="U325" t="s">
        <v>118</v>
      </c>
      <c r="V325" t="s">
        <v>288</v>
      </c>
      <c r="W325">
        <v>975</v>
      </c>
      <c r="X325" t="b">
        <v>0</v>
      </c>
    </row>
    <row r="326" spans="1:24" x14ac:dyDescent="0.25">
      <c r="A326">
        <v>325</v>
      </c>
      <c r="B326" t="s">
        <v>617</v>
      </c>
      <c r="C326">
        <v>6</v>
      </c>
      <c r="D326">
        <v>20</v>
      </c>
      <c r="E326">
        <v>99</v>
      </c>
      <c r="F326">
        <v>0</v>
      </c>
      <c r="G326">
        <v>4</v>
      </c>
      <c r="H326">
        <v>4</v>
      </c>
      <c r="I326" t="s">
        <v>112</v>
      </c>
      <c r="J326">
        <v>798</v>
      </c>
      <c r="K326">
        <v>2527</v>
      </c>
      <c r="L326">
        <v>1.5</v>
      </c>
      <c r="M326">
        <v>421</v>
      </c>
      <c r="N326">
        <v>1238</v>
      </c>
      <c r="O326">
        <v>1.5</v>
      </c>
      <c r="P326">
        <v>105</v>
      </c>
      <c r="Q326">
        <v>220</v>
      </c>
      <c r="R326">
        <v>1.5</v>
      </c>
      <c r="S326">
        <v>4000000</v>
      </c>
      <c r="T326" t="s">
        <v>618</v>
      </c>
      <c r="U326" t="s">
        <v>118</v>
      </c>
      <c r="V326" t="s">
        <v>288</v>
      </c>
      <c r="W326">
        <v>975</v>
      </c>
      <c r="X326" t="b">
        <v>0</v>
      </c>
    </row>
    <row r="327" spans="1:24" x14ac:dyDescent="0.25">
      <c r="A327">
        <v>326</v>
      </c>
      <c r="B327" t="s">
        <v>619</v>
      </c>
      <c r="C327">
        <v>6</v>
      </c>
      <c r="D327">
        <v>20</v>
      </c>
      <c r="E327">
        <v>99</v>
      </c>
      <c r="F327">
        <v>1</v>
      </c>
      <c r="G327">
        <v>0</v>
      </c>
      <c r="H327">
        <v>4</v>
      </c>
      <c r="I327" t="s">
        <v>112</v>
      </c>
      <c r="J327">
        <v>861</v>
      </c>
      <c r="K327">
        <v>2409</v>
      </c>
      <c r="L327">
        <v>1.5</v>
      </c>
      <c r="M327">
        <v>416</v>
      </c>
      <c r="N327">
        <v>1305</v>
      </c>
      <c r="O327">
        <v>1.5</v>
      </c>
      <c r="P327">
        <v>105</v>
      </c>
      <c r="Q327">
        <v>231</v>
      </c>
      <c r="R327">
        <v>1.5</v>
      </c>
      <c r="S327">
        <v>4000000</v>
      </c>
      <c r="T327" t="s">
        <v>620</v>
      </c>
      <c r="U327" t="s">
        <v>127</v>
      </c>
      <c r="V327" t="s">
        <v>292</v>
      </c>
      <c r="W327">
        <v>975</v>
      </c>
      <c r="X327" t="b">
        <v>0</v>
      </c>
    </row>
    <row r="328" spans="1:24" x14ac:dyDescent="0.25">
      <c r="A328">
        <v>327</v>
      </c>
      <c r="B328" t="s">
        <v>621</v>
      </c>
      <c r="C328">
        <v>6</v>
      </c>
      <c r="D328">
        <v>20</v>
      </c>
      <c r="E328">
        <v>99</v>
      </c>
      <c r="F328">
        <v>1</v>
      </c>
      <c r="G328">
        <v>2</v>
      </c>
      <c r="H328">
        <v>4</v>
      </c>
      <c r="I328" t="s">
        <v>112</v>
      </c>
      <c r="J328">
        <v>861</v>
      </c>
      <c r="K328">
        <v>2409</v>
      </c>
      <c r="L328">
        <v>1.5</v>
      </c>
      <c r="M328">
        <v>416</v>
      </c>
      <c r="N328">
        <v>1305</v>
      </c>
      <c r="O328">
        <v>1.5</v>
      </c>
      <c r="P328">
        <v>105</v>
      </c>
      <c r="Q328">
        <v>231</v>
      </c>
      <c r="R328">
        <v>1.5</v>
      </c>
      <c r="S328">
        <v>4000000</v>
      </c>
      <c r="T328" t="s">
        <v>622</v>
      </c>
      <c r="U328" t="s">
        <v>127</v>
      </c>
      <c r="V328" t="s">
        <v>292</v>
      </c>
      <c r="W328">
        <v>975</v>
      </c>
      <c r="X328" t="b">
        <v>0</v>
      </c>
    </row>
    <row r="329" spans="1:24" x14ac:dyDescent="0.25">
      <c r="A329">
        <v>328</v>
      </c>
      <c r="B329" t="s">
        <v>623</v>
      </c>
      <c r="C329">
        <v>6</v>
      </c>
      <c r="D329">
        <v>20</v>
      </c>
      <c r="E329">
        <v>99</v>
      </c>
      <c r="F329">
        <v>1</v>
      </c>
      <c r="G329">
        <v>3</v>
      </c>
      <c r="H329">
        <v>4</v>
      </c>
      <c r="I329" t="s">
        <v>112</v>
      </c>
      <c r="J329">
        <v>861</v>
      </c>
      <c r="K329">
        <v>2409</v>
      </c>
      <c r="L329">
        <v>1.5</v>
      </c>
      <c r="M329">
        <v>416</v>
      </c>
      <c r="N329">
        <v>1205</v>
      </c>
      <c r="O329">
        <v>1.5</v>
      </c>
      <c r="P329">
        <v>105</v>
      </c>
      <c r="Q329">
        <v>291</v>
      </c>
      <c r="R329">
        <v>1.5</v>
      </c>
      <c r="S329">
        <v>4000000</v>
      </c>
      <c r="T329" t="s">
        <v>624</v>
      </c>
      <c r="U329" t="s">
        <v>127</v>
      </c>
      <c r="V329" t="s">
        <v>292</v>
      </c>
      <c r="W329">
        <v>975</v>
      </c>
      <c r="X329" t="b">
        <v>0</v>
      </c>
    </row>
    <row r="330" spans="1:24" x14ac:dyDescent="0.25">
      <c r="A330">
        <v>329</v>
      </c>
      <c r="B330" t="s">
        <v>625</v>
      </c>
      <c r="C330">
        <v>6</v>
      </c>
      <c r="D330">
        <v>20</v>
      </c>
      <c r="E330">
        <v>99</v>
      </c>
      <c r="F330">
        <v>1</v>
      </c>
      <c r="G330">
        <v>4</v>
      </c>
      <c r="H330">
        <v>4</v>
      </c>
      <c r="I330" t="s">
        <v>112</v>
      </c>
      <c r="J330">
        <v>861</v>
      </c>
      <c r="K330">
        <v>2609</v>
      </c>
      <c r="L330">
        <v>1.5</v>
      </c>
      <c r="M330">
        <v>416</v>
      </c>
      <c r="N330">
        <v>1205</v>
      </c>
      <c r="O330">
        <v>1.5</v>
      </c>
      <c r="P330">
        <v>105</v>
      </c>
      <c r="Q330">
        <v>231</v>
      </c>
      <c r="R330">
        <v>1.5</v>
      </c>
      <c r="S330">
        <v>4000000</v>
      </c>
      <c r="T330" t="s">
        <v>626</v>
      </c>
      <c r="U330" t="s">
        <v>127</v>
      </c>
      <c r="V330" t="s">
        <v>292</v>
      </c>
      <c r="W330">
        <v>975</v>
      </c>
      <c r="X330" t="b">
        <v>0</v>
      </c>
    </row>
    <row r="331" spans="1:24" x14ac:dyDescent="0.25">
      <c r="A331">
        <v>330</v>
      </c>
      <c r="B331" t="s">
        <v>627</v>
      </c>
      <c r="C331">
        <v>6</v>
      </c>
      <c r="D331">
        <v>20</v>
      </c>
      <c r="E331">
        <v>99</v>
      </c>
      <c r="F331">
        <v>2</v>
      </c>
      <c r="G331">
        <v>0</v>
      </c>
      <c r="H331">
        <v>4</v>
      </c>
      <c r="I331" t="s">
        <v>112</v>
      </c>
      <c r="J331">
        <v>777</v>
      </c>
      <c r="K331">
        <v>2360</v>
      </c>
      <c r="L331">
        <v>1.5</v>
      </c>
      <c r="M331">
        <v>451</v>
      </c>
      <c r="N331">
        <v>1362</v>
      </c>
      <c r="O331">
        <v>1.5</v>
      </c>
      <c r="P331">
        <v>95</v>
      </c>
      <c r="Q331">
        <v>231</v>
      </c>
      <c r="R331">
        <v>1.5</v>
      </c>
      <c r="S331">
        <v>4000000</v>
      </c>
      <c r="T331" t="s">
        <v>628</v>
      </c>
      <c r="U331" t="s">
        <v>135</v>
      </c>
      <c r="V331" t="s">
        <v>295</v>
      </c>
      <c r="W331">
        <v>975</v>
      </c>
      <c r="X331" t="b">
        <v>0</v>
      </c>
    </row>
    <row r="332" spans="1:24" x14ac:dyDescent="0.25">
      <c r="A332">
        <v>331</v>
      </c>
      <c r="B332" t="s">
        <v>629</v>
      </c>
      <c r="C332">
        <v>6</v>
      </c>
      <c r="D332">
        <v>20</v>
      </c>
      <c r="E332">
        <v>99</v>
      </c>
      <c r="F332">
        <v>2</v>
      </c>
      <c r="G332">
        <v>1</v>
      </c>
      <c r="H332">
        <v>4</v>
      </c>
      <c r="I332" t="s">
        <v>112</v>
      </c>
      <c r="J332">
        <v>777</v>
      </c>
      <c r="K332">
        <v>2360</v>
      </c>
      <c r="L332">
        <v>1.5</v>
      </c>
      <c r="M332">
        <v>451</v>
      </c>
      <c r="N332">
        <v>1362</v>
      </c>
      <c r="O332">
        <v>1.5</v>
      </c>
      <c r="P332">
        <v>95</v>
      </c>
      <c r="Q332">
        <v>231</v>
      </c>
      <c r="R332">
        <v>1.5</v>
      </c>
      <c r="S332">
        <v>4000000</v>
      </c>
      <c r="T332" t="s">
        <v>630</v>
      </c>
      <c r="U332" t="s">
        <v>135</v>
      </c>
      <c r="V332" t="s">
        <v>295</v>
      </c>
      <c r="W332">
        <v>975</v>
      </c>
      <c r="X332" t="b">
        <v>0</v>
      </c>
    </row>
    <row r="333" spans="1:24" x14ac:dyDescent="0.25">
      <c r="A333">
        <v>332</v>
      </c>
      <c r="B333" t="s">
        <v>631</v>
      </c>
      <c r="C333">
        <v>6</v>
      </c>
      <c r="D333">
        <v>20</v>
      </c>
      <c r="E333">
        <v>99</v>
      </c>
      <c r="F333">
        <v>2</v>
      </c>
      <c r="G333">
        <v>3</v>
      </c>
      <c r="H333">
        <v>4</v>
      </c>
      <c r="I333" t="s">
        <v>112</v>
      </c>
      <c r="J333">
        <v>777</v>
      </c>
      <c r="K333">
        <v>2360</v>
      </c>
      <c r="L333">
        <v>1.5</v>
      </c>
      <c r="M333">
        <v>451</v>
      </c>
      <c r="N333">
        <v>1262</v>
      </c>
      <c r="O333">
        <v>1.5</v>
      </c>
      <c r="P333">
        <v>95</v>
      </c>
      <c r="Q333">
        <v>291</v>
      </c>
      <c r="R333">
        <v>1.5</v>
      </c>
      <c r="S333">
        <v>4000000</v>
      </c>
      <c r="T333" t="s">
        <v>632</v>
      </c>
      <c r="U333" t="s">
        <v>135</v>
      </c>
      <c r="V333" t="s">
        <v>295</v>
      </c>
      <c r="W333">
        <v>975</v>
      </c>
      <c r="X333" t="b">
        <v>0</v>
      </c>
    </row>
    <row r="334" spans="1:24" x14ac:dyDescent="0.25">
      <c r="A334">
        <v>333</v>
      </c>
      <c r="B334" t="s">
        <v>633</v>
      </c>
      <c r="C334">
        <v>6</v>
      </c>
      <c r="D334">
        <v>20</v>
      </c>
      <c r="E334">
        <v>99</v>
      </c>
      <c r="F334">
        <v>2</v>
      </c>
      <c r="G334">
        <v>4</v>
      </c>
      <c r="H334">
        <v>4</v>
      </c>
      <c r="I334" t="s">
        <v>112</v>
      </c>
      <c r="J334">
        <v>777</v>
      </c>
      <c r="K334">
        <v>2560</v>
      </c>
      <c r="L334">
        <v>1.5</v>
      </c>
      <c r="M334">
        <v>451</v>
      </c>
      <c r="N334">
        <v>1262</v>
      </c>
      <c r="O334">
        <v>1.5</v>
      </c>
      <c r="P334">
        <v>95</v>
      </c>
      <c r="Q334">
        <v>231</v>
      </c>
      <c r="R334">
        <v>1.5</v>
      </c>
      <c r="S334">
        <v>4000000</v>
      </c>
      <c r="T334" t="s">
        <v>634</v>
      </c>
      <c r="U334" t="s">
        <v>135</v>
      </c>
      <c r="V334" t="s">
        <v>295</v>
      </c>
      <c r="W334">
        <v>975</v>
      </c>
      <c r="X334" t="b">
        <v>0</v>
      </c>
    </row>
    <row r="335" spans="1:24" x14ac:dyDescent="0.25">
      <c r="A335">
        <v>334</v>
      </c>
      <c r="B335" t="s">
        <v>635</v>
      </c>
      <c r="C335">
        <v>6</v>
      </c>
      <c r="D335">
        <v>20</v>
      </c>
      <c r="E335">
        <v>99</v>
      </c>
      <c r="F335">
        <v>3</v>
      </c>
      <c r="G335">
        <v>0</v>
      </c>
      <c r="H335">
        <v>4</v>
      </c>
      <c r="I335">
        <v>5</v>
      </c>
      <c r="J335">
        <v>756</v>
      </c>
      <c r="K335">
        <v>2277</v>
      </c>
      <c r="L335">
        <v>1.5</v>
      </c>
      <c r="M335">
        <v>426</v>
      </c>
      <c r="N335">
        <v>1313</v>
      </c>
      <c r="O335">
        <v>1.5</v>
      </c>
      <c r="P335">
        <v>121</v>
      </c>
      <c r="Q335">
        <v>275</v>
      </c>
      <c r="R335">
        <v>1.5</v>
      </c>
      <c r="S335">
        <v>4000000</v>
      </c>
      <c r="T335" t="s">
        <v>636</v>
      </c>
      <c r="U335" t="s">
        <v>143</v>
      </c>
      <c r="V335" t="s">
        <v>299</v>
      </c>
      <c r="W335">
        <v>975</v>
      </c>
      <c r="X335" t="b">
        <v>0</v>
      </c>
    </row>
    <row r="336" spans="1:24" x14ac:dyDescent="0.25">
      <c r="A336">
        <v>335</v>
      </c>
      <c r="B336" t="s">
        <v>637</v>
      </c>
      <c r="C336">
        <v>6</v>
      </c>
      <c r="D336">
        <v>20</v>
      </c>
      <c r="E336">
        <v>99</v>
      </c>
      <c r="F336">
        <v>3</v>
      </c>
      <c r="G336">
        <v>1</v>
      </c>
      <c r="H336">
        <v>4</v>
      </c>
      <c r="I336">
        <v>5</v>
      </c>
      <c r="J336">
        <v>756</v>
      </c>
      <c r="K336">
        <v>2277</v>
      </c>
      <c r="L336">
        <v>1.5</v>
      </c>
      <c r="M336">
        <v>426</v>
      </c>
      <c r="N336">
        <v>1313</v>
      </c>
      <c r="O336">
        <v>1.5</v>
      </c>
      <c r="P336">
        <v>121</v>
      </c>
      <c r="Q336">
        <v>275</v>
      </c>
      <c r="R336">
        <v>1.5</v>
      </c>
      <c r="S336">
        <v>4000000</v>
      </c>
      <c r="T336" t="s">
        <v>638</v>
      </c>
      <c r="U336" t="s">
        <v>143</v>
      </c>
      <c r="V336" t="s">
        <v>299</v>
      </c>
      <c r="W336">
        <v>975</v>
      </c>
      <c r="X336" t="b">
        <v>0</v>
      </c>
    </row>
    <row r="337" spans="1:24" x14ac:dyDescent="0.25">
      <c r="A337">
        <v>336</v>
      </c>
      <c r="B337" t="s">
        <v>639</v>
      </c>
      <c r="C337">
        <v>6</v>
      </c>
      <c r="D337">
        <v>20</v>
      </c>
      <c r="E337">
        <v>99</v>
      </c>
      <c r="F337">
        <v>3</v>
      </c>
      <c r="G337">
        <v>2</v>
      </c>
      <c r="H337">
        <v>4</v>
      </c>
      <c r="I337">
        <v>5</v>
      </c>
      <c r="J337">
        <v>756</v>
      </c>
      <c r="K337">
        <v>2277</v>
      </c>
      <c r="L337">
        <v>1.5</v>
      </c>
      <c r="M337">
        <v>426</v>
      </c>
      <c r="N337">
        <v>1313</v>
      </c>
      <c r="O337">
        <v>1.5</v>
      </c>
      <c r="P337">
        <v>121</v>
      </c>
      <c r="Q337">
        <v>275</v>
      </c>
      <c r="R337">
        <v>1.5</v>
      </c>
      <c r="S337">
        <v>4000000</v>
      </c>
      <c r="T337" t="s">
        <v>640</v>
      </c>
      <c r="U337" t="s">
        <v>143</v>
      </c>
      <c r="V337" t="s">
        <v>299</v>
      </c>
      <c r="W337">
        <v>975</v>
      </c>
      <c r="X337" t="b">
        <v>0</v>
      </c>
    </row>
    <row r="338" spans="1:24" x14ac:dyDescent="0.25">
      <c r="A338">
        <v>337</v>
      </c>
      <c r="B338" t="s">
        <v>641</v>
      </c>
      <c r="C338">
        <v>6</v>
      </c>
      <c r="D338">
        <v>20</v>
      </c>
      <c r="E338">
        <v>99</v>
      </c>
      <c r="F338">
        <v>3</v>
      </c>
      <c r="G338">
        <v>4</v>
      </c>
      <c r="H338">
        <v>4</v>
      </c>
      <c r="I338">
        <v>5</v>
      </c>
      <c r="J338">
        <v>756</v>
      </c>
      <c r="K338">
        <v>2477</v>
      </c>
      <c r="L338">
        <v>1.5</v>
      </c>
      <c r="M338">
        <v>426</v>
      </c>
      <c r="N338">
        <v>1213</v>
      </c>
      <c r="O338">
        <v>1.5</v>
      </c>
      <c r="P338">
        <v>121</v>
      </c>
      <c r="Q338">
        <v>275</v>
      </c>
      <c r="R338">
        <v>1.5</v>
      </c>
      <c r="S338">
        <v>4000000</v>
      </c>
      <c r="T338" t="s">
        <v>642</v>
      </c>
      <c r="U338" t="s">
        <v>143</v>
      </c>
      <c r="V338" t="s">
        <v>299</v>
      </c>
      <c r="W338">
        <v>975</v>
      </c>
      <c r="X338" t="b">
        <v>0</v>
      </c>
    </row>
    <row r="339" spans="1:24" x14ac:dyDescent="0.25">
      <c r="A339">
        <v>338</v>
      </c>
      <c r="B339" t="s">
        <v>643</v>
      </c>
      <c r="C339">
        <v>6</v>
      </c>
      <c r="D339">
        <v>20</v>
      </c>
      <c r="E339">
        <v>99</v>
      </c>
      <c r="F339">
        <v>4</v>
      </c>
      <c r="G339">
        <v>0</v>
      </c>
      <c r="H339">
        <v>4</v>
      </c>
      <c r="I339" t="s">
        <v>112</v>
      </c>
      <c r="J339">
        <v>812</v>
      </c>
      <c r="K339">
        <v>2310</v>
      </c>
      <c r="L339">
        <v>1.5</v>
      </c>
      <c r="M339">
        <v>457</v>
      </c>
      <c r="N339">
        <v>1354</v>
      </c>
      <c r="O339">
        <v>1.5</v>
      </c>
      <c r="P339">
        <v>74</v>
      </c>
      <c r="Q339">
        <v>198</v>
      </c>
      <c r="R339">
        <v>1.5</v>
      </c>
      <c r="S339">
        <v>4000000</v>
      </c>
      <c r="T339" t="s">
        <v>644</v>
      </c>
      <c r="U339" t="s">
        <v>151</v>
      </c>
      <c r="V339" t="s">
        <v>303</v>
      </c>
      <c r="W339">
        <v>975</v>
      </c>
      <c r="X339" t="b">
        <v>0</v>
      </c>
    </row>
    <row r="340" spans="1:24" x14ac:dyDescent="0.25">
      <c r="A340">
        <v>339</v>
      </c>
      <c r="B340" t="s">
        <v>645</v>
      </c>
      <c r="C340">
        <v>6</v>
      </c>
      <c r="D340">
        <v>20</v>
      </c>
      <c r="E340">
        <v>99</v>
      </c>
      <c r="F340">
        <v>4</v>
      </c>
      <c r="G340">
        <v>1</v>
      </c>
      <c r="H340">
        <v>4</v>
      </c>
      <c r="I340" t="s">
        <v>112</v>
      </c>
      <c r="J340">
        <v>812</v>
      </c>
      <c r="K340">
        <v>2310</v>
      </c>
      <c r="L340">
        <v>1.5</v>
      </c>
      <c r="M340">
        <v>457</v>
      </c>
      <c r="N340">
        <v>1354</v>
      </c>
      <c r="O340">
        <v>1.5</v>
      </c>
      <c r="P340">
        <v>74</v>
      </c>
      <c r="Q340">
        <v>198</v>
      </c>
      <c r="R340">
        <v>1.5</v>
      </c>
      <c r="S340">
        <v>4000000</v>
      </c>
      <c r="T340" t="s">
        <v>646</v>
      </c>
      <c r="U340" t="s">
        <v>151</v>
      </c>
      <c r="V340" t="s">
        <v>303</v>
      </c>
      <c r="W340">
        <v>975</v>
      </c>
      <c r="X340" t="b">
        <v>0</v>
      </c>
    </row>
    <row r="341" spans="1:24" x14ac:dyDescent="0.25">
      <c r="A341">
        <v>340</v>
      </c>
      <c r="B341" t="s">
        <v>647</v>
      </c>
      <c r="C341">
        <v>6</v>
      </c>
      <c r="D341">
        <v>20</v>
      </c>
      <c r="E341">
        <v>99</v>
      </c>
      <c r="F341">
        <v>4</v>
      </c>
      <c r="G341">
        <v>2</v>
      </c>
      <c r="H341">
        <v>4</v>
      </c>
      <c r="I341" t="s">
        <v>112</v>
      </c>
      <c r="J341">
        <v>812</v>
      </c>
      <c r="K341">
        <v>2310</v>
      </c>
      <c r="L341">
        <v>1.5</v>
      </c>
      <c r="M341">
        <v>457</v>
      </c>
      <c r="N341">
        <v>1354</v>
      </c>
      <c r="O341">
        <v>1.5</v>
      </c>
      <c r="P341">
        <v>74</v>
      </c>
      <c r="Q341">
        <v>198</v>
      </c>
      <c r="R341">
        <v>1.5</v>
      </c>
      <c r="S341">
        <v>4000000</v>
      </c>
      <c r="T341" t="s">
        <v>648</v>
      </c>
      <c r="U341" t="s">
        <v>151</v>
      </c>
      <c r="V341" t="s">
        <v>303</v>
      </c>
      <c r="W341">
        <v>975</v>
      </c>
      <c r="X341" t="b">
        <v>0</v>
      </c>
    </row>
    <row r="342" spans="1:24" x14ac:dyDescent="0.25">
      <c r="A342">
        <v>341</v>
      </c>
      <c r="B342" t="s">
        <v>649</v>
      </c>
      <c r="C342">
        <v>6</v>
      </c>
      <c r="D342">
        <v>20</v>
      </c>
      <c r="E342">
        <v>99</v>
      </c>
      <c r="F342">
        <v>4</v>
      </c>
      <c r="G342">
        <v>3</v>
      </c>
      <c r="H342">
        <v>4</v>
      </c>
      <c r="I342" t="s">
        <v>112</v>
      </c>
      <c r="J342">
        <v>812</v>
      </c>
      <c r="K342">
        <v>2310</v>
      </c>
      <c r="L342">
        <v>1.5</v>
      </c>
      <c r="M342">
        <v>457</v>
      </c>
      <c r="N342">
        <v>1254</v>
      </c>
      <c r="O342">
        <v>1.5</v>
      </c>
      <c r="P342">
        <v>74</v>
      </c>
      <c r="Q342">
        <v>258</v>
      </c>
      <c r="R342">
        <v>1.5</v>
      </c>
      <c r="S342">
        <v>4000000</v>
      </c>
      <c r="T342" t="s">
        <v>650</v>
      </c>
      <c r="U342" t="s">
        <v>151</v>
      </c>
      <c r="V342" t="s">
        <v>303</v>
      </c>
      <c r="W342">
        <v>975</v>
      </c>
      <c r="X342" t="b">
        <v>0</v>
      </c>
    </row>
    <row r="343" spans="1:24" x14ac:dyDescent="0.25">
      <c r="A343">
        <v>342</v>
      </c>
      <c r="B343" t="s">
        <v>651</v>
      </c>
      <c r="C343">
        <v>3</v>
      </c>
      <c r="D343">
        <v>6</v>
      </c>
      <c r="E343">
        <v>25</v>
      </c>
      <c r="F343">
        <v>0</v>
      </c>
      <c r="G343" t="s">
        <v>112</v>
      </c>
      <c r="H343">
        <v>1</v>
      </c>
      <c r="I343" t="s">
        <v>112</v>
      </c>
      <c r="J343">
        <v>232</v>
      </c>
      <c r="K343">
        <v>742</v>
      </c>
      <c r="L343">
        <v>1</v>
      </c>
      <c r="M343">
        <v>112</v>
      </c>
      <c r="N343">
        <v>358</v>
      </c>
      <c r="O343">
        <v>1</v>
      </c>
      <c r="P343">
        <v>88</v>
      </c>
      <c r="Q343">
        <v>185</v>
      </c>
      <c r="R343">
        <v>1</v>
      </c>
      <c r="S343">
        <v>1000000</v>
      </c>
      <c r="T343" t="s">
        <v>492</v>
      </c>
      <c r="U343" t="s">
        <v>112</v>
      </c>
      <c r="W343">
        <v>337.5</v>
      </c>
      <c r="X343" t="b">
        <v>0</v>
      </c>
    </row>
    <row r="344" spans="1:24" x14ac:dyDescent="0.25">
      <c r="A344">
        <v>343</v>
      </c>
      <c r="B344" t="s">
        <v>652</v>
      </c>
      <c r="C344">
        <v>4</v>
      </c>
      <c r="D344">
        <v>12</v>
      </c>
      <c r="E344">
        <v>70</v>
      </c>
      <c r="F344">
        <v>0</v>
      </c>
      <c r="G344" t="s">
        <v>112</v>
      </c>
      <c r="H344">
        <v>1</v>
      </c>
      <c r="I344" t="s">
        <v>112</v>
      </c>
      <c r="J344">
        <v>594</v>
      </c>
      <c r="K344">
        <v>1604</v>
      </c>
      <c r="L344">
        <v>1</v>
      </c>
      <c r="M344">
        <v>322</v>
      </c>
      <c r="N344">
        <v>805</v>
      </c>
      <c r="O344">
        <v>1</v>
      </c>
      <c r="P344">
        <v>167</v>
      </c>
      <c r="Q344">
        <v>251</v>
      </c>
      <c r="R344">
        <v>1</v>
      </c>
      <c r="S344">
        <v>1500000</v>
      </c>
      <c r="T344" t="s">
        <v>492</v>
      </c>
      <c r="U344" t="s">
        <v>552</v>
      </c>
      <c r="V344" t="s">
        <v>2178</v>
      </c>
      <c r="W344">
        <v>600</v>
      </c>
      <c r="X344" t="b">
        <v>0</v>
      </c>
    </row>
    <row r="345" spans="1:24" x14ac:dyDescent="0.25">
      <c r="A345">
        <v>344</v>
      </c>
      <c r="B345" t="s">
        <v>653</v>
      </c>
      <c r="C345">
        <v>3</v>
      </c>
      <c r="D345">
        <v>6</v>
      </c>
      <c r="E345">
        <v>25</v>
      </c>
      <c r="F345">
        <v>1</v>
      </c>
      <c r="G345" t="s">
        <v>112</v>
      </c>
      <c r="H345">
        <v>1</v>
      </c>
      <c r="I345" t="s">
        <v>112</v>
      </c>
      <c r="J345">
        <v>221</v>
      </c>
      <c r="K345">
        <v>707</v>
      </c>
      <c r="L345">
        <v>1</v>
      </c>
      <c r="M345">
        <v>106</v>
      </c>
      <c r="N345">
        <v>339</v>
      </c>
      <c r="O345">
        <v>1</v>
      </c>
      <c r="P345">
        <v>99</v>
      </c>
      <c r="Q345">
        <v>208</v>
      </c>
      <c r="R345">
        <v>1</v>
      </c>
      <c r="S345">
        <v>1000000</v>
      </c>
      <c r="T345" t="s">
        <v>496</v>
      </c>
      <c r="U345" t="s">
        <v>112</v>
      </c>
      <c r="W345">
        <v>337.5</v>
      </c>
      <c r="X345" t="b">
        <v>0</v>
      </c>
    </row>
    <row r="346" spans="1:24" x14ac:dyDescent="0.25">
      <c r="A346">
        <v>345</v>
      </c>
      <c r="B346" t="s">
        <v>654</v>
      </c>
      <c r="C346">
        <v>4</v>
      </c>
      <c r="D346">
        <v>12</v>
      </c>
      <c r="E346">
        <v>70</v>
      </c>
      <c r="F346">
        <v>1</v>
      </c>
      <c r="G346" t="s">
        <v>112</v>
      </c>
      <c r="H346">
        <v>1</v>
      </c>
      <c r="I346" t="s">
        <v>112</v>
      </c>
      <c r="J346">
        <v>566</v>
      </c>
      <c r="K346">
        <v>1528</v>
      </c>
      <c r="L346">
        <v>1</v>
      </c>
      <c r="M346">
        <v>305</v>
      </c>
      <c r="N346">
        <v>763</v>
      </c>
      <c r="O346">
        <v>1</v>
      </c>
      <c r="P346">
        <v>187</v>
      </c>
      <c r="Q346">
        <v>281</v>
      </c>
      <c r="R346">
        <v>1</v>
      </c>
      <c r="S346">
        <v>1500000</v>
      </c>
      <c r="T346" t="s">
        <v>496</v>
      </c>
      <c r="U346" t="s">
        <v>497</v>
      </c>
      <c r="V346" t="s">
        <v>2179</v>
      </c>
      <c r="W346">
        <v>600</v>
      </c>
      <c r="X346" t="b">
        <v>0</v>
      </c>
    </row>
    <row r="347" spans="1:24" x14ac:dyDescent="0.25">
      <c r="A347">
        <v>346</v>
      </c>
      <c r="B347" t="s">
        <v>655</v>
      </c>
      <c r="C347">
        <v>3</v>
      </c>
      <c r="D347">
        <v>6</v>
      </c>
      <c r="E347">
        <v>25</v>
      </c>
      <c r="F347">
        <v>2</v>
      </c>
      <c r="G347" t="s">
        <v>112</v>
      </c>
      <c r="H347">
        <v>1</v>
      </c>
      <c r="I347" t="s">
        <v>112</v>
      </c>
      <c r="J347">
        <v>226</v>
      </c>
      <c r="K347">
        <v>723</v>
      </c>
      <c r="L347">
        <v>1</v>
      </c>
      <c r="M347">
        <v>104</v>
      </c>
      <c r="N347">
        <v>333</v>
      </c>
      <c r="O347">
        <v>1</v>
      </c>
      <c r="P347">
        <v>103</v>
      </c>
      <c r="Q347">
        <v>216</v>
      </c>
      <c r="R347">
        <v>1</v>
      </c>
      <c r="S347">
        <v>1000000</v>
      </c>
      <c r="T347" t="s">
        <v>500</v>
      </c>
      <c r="U347" t="s">
        <v>112</v>
      </c>
      <c r="W347">
        <v>337.5</v>
      </c>
      <c r="X347" t="b">
        <v>0</v>
      </c>
    </row>
    <row r="348" spans="1:24" x14ac:dyDescent="0.25">
      <c r="A348">
        <v>347</v>
      </c>
      <c r="B348" t="s">
        <v>656</v>
      </c>
      <c r="C348">
        <v>4</v>
      </c>
      <c r="D348">
        <v>12</v>
      </c>
      <c r="E348">
        <v>70</v>
      </c>
      <c r="F348">
        <v>2</v>
      </c>
      <c r="G348" t="s">
        <v>112</v>
      </c>
      <c r="H348">
        <v>1</v>
      </c>
      <c r="I348" t="s">
        <v>112</v>
      </c>
      <c r="J348">
        <v>578</v>
      </c>
      <c r="K348">
        <v>1561</v>
      </c>
      <c r="L348">
        <v>1</v>
      </c>
      <c r="M348">
        <v>300</v>
      </c>
      <c r="N348">
        <v>750</v>
      </c>
      <c r="O348">
        <v>1</v>
      </c>
      <c r="P348">
        <v>194</v>
      </c>
      <c r="Q348">
        <v>291</v>
      </c>
      <c r="R348">
        <v>1</v>
      </c>
      <c r="S348">
        <v>1500000</v>
      </c>
      <c r="T348" t="s">
        <v>500</v>
      </c>
      <c r="U348" t="s">
        <v>501</v>
      </c>
      <c r="V348" t="s">
        <v>2180</v>
      </c>
      <c r="W348">
        <v>600</v>
      </c>
      <c r="X348" t="b">
        <v>0</v>
      </c>
    </row>
    <row r="349" spans="1:24" x14ac:dyDescent="0.25">
      <c r="A349">
        <v>348</v>
      </c>
      <c r="B349" t="s">
        <v>657</v>
      </c>
      <c r="C349">
        <v>3</v>
      </c>
      <c r="D349">
        <v>6</v>
      </c>
      <c r="E349">
        <v>25</v>
      </c>
      <c r="F349">
        <v>3</v>
      </c>
      <c r="G349" t="s">
        <v>112</v>
      </c>
      <c r="H349">
        <v>1</v>
      </c>
      <c r="I349" t="s">
        <v>112</v>
      </c>
      <c r="J349">
        <v>214</v>
      </c>
      <c r="K349">
        <v>685</v>
      </c>
      <c r="L349">
        <v>1</v>
      </c>
      <c r="M349">
        <v>99</v>
      </c>
      <c r="N349">
        <v>317</v>
      </c>
      <c r="O349">
        <v>1</v>
      </c>
      <c r="P349">
        <v>115</v>
      </c>
      <c r="Q349">
        <v>242</v>
      </c>
      <c r="R349">
        <v>1</v>
      </c>
      <c r="S349">
        <v>1000000</v>
      </c>
      <c r="T349" t="s">
        <v>658</v>
      </c>
      <c r="U349" t="s">
        <v>322</v>
      </c>
      <c r="W349">
        <v>337.5</v>
      </c>
      <c r="X349" t="b">
        <v>0</v>
      </c>
    </row>
    <row r="350" spans="1:24" x14ac:dyDescent="0.25">
      <c r="A350">
        <v>349</v>
      </c>
      <c r="B350" t="s">
        <v>659</v>
      </c>
      <c r="C350">
        <v>4</v>
      </c>
      <c r="D350">
        <v>12</v>
      </c>
      <c r="E350">
        <v>70</v>
      </c>
      <c r="F350">
        <v>3</v>
      </c>
      <c r="G350" t="s">
        <v>112</v>
      </c>
      <c r="H350">
        <v>1</v>
      </c>
      <c r="I350" t="s">
        <v>112</v>
      </c>
      <c r="J350">
        <v>548</v>
      </c>
      <c r="K350">
        <v>1480</v>
      </c>
      <c r="L350">
        <v>1</v>
      </c>
      <c r="M350">
        <v>285</v>
      </c>
      <c r="N350">
        <v>713</v>
      </c>
      <c r="O350">
        <v>1</v>
      </c>
      <c r="P350">
        <v>218</v>
      </c>
      <c r="Q350">
        <v>327</v>
      </c>
      <c r="R350">
        <v>1</v>
      </c>
      <c r="S350">
        <v>1500000</v>
      </c>
      <c r="T350" t="s">
        <v>658</v>
      </c>
      <c r="U350" t="s">
        <v>322</v>
      </c>
      <c r="W350">
        <v>600</v>
      </c>
      <c r="X350" t="b">
        <v>0</v>
      </c>
    </row>
    <row r="351" spans="1:24" x14ac:dyDescent="0.25">
      <c r="A351">
        <v>350</v>
      </c>
      <c r="B351" t="s">
        <v>660</v>
      </c>
      <c r="C351">
        <v>4</v>
      </c>
      <c r="D351">
        <v>15</v>
      </c>
      <c r="E351">
        <v>25</v>
      </c>
      <c r="F351">
        <v>3</v>
      </c>
      <c r="G351" t="s">
        <v>112</v>
      </c>
      <c r="H351">
        <v>4</v>
      </c>
      <c r="I351" t="s">
        <v>112</v>
      </c>
      <c r="J351">
        <v>398</v>
      </c>
      <c r="K351">
        <v>796</v>
      </c>
      <c r="L351">
        <v>1</v>
      </c>
      <c r="M351">
        <v>222</v>
      </c>
      <c r="N351">
        <v>333</v>
      </c>
      <c r="O351">
        <v>1.5</v>
      </c>
      <c r="P351">
        <v>77</v>
      </c>
      <c r="Q351">
        <v>154</v>
      </c>
      <c r="R351">
        <v>1.5</v>
      </c>
      <c r="S351">
        <v>1000000</v>
      </c>
      <c r="T351" t="s">
        <v>112</v>
      </c>
      <c r="U351" t="s">
        <v>661</v>
      </c>
      <c r="W351">
        <v>712.5</v>
      </c>
      <c r="X351" t="b">
        <v>0</v>
      </c>
    </row>
    <row r="352" spans="1:24" x14ac:dyDescent="0.25">
      <c r="A352">
        <v>351</v>
      </c>
      <c r="B352" t="s">
        <v>662</v>
      </c>
      <c r="C352">
        <v>5</v>
      </c>
      <c r="D352">
        <v>20</v>
      </c>
      <c r="E352">
        <v>99</v>
      </c>
      <c r="F352">
        <v>3</v>
      </c>
      <c r="G352">
        <v>0</v>
      </c>
      <c r="H352">
        <v>4</v>
      </c>
      <c r="I352" t="s">
        <v>112</v>
      </c>
      <c r="J352">
        <v>637</v>
      </c>
      <c r="K352">
        <v>1911</v>
      </c>
      <c r="L352">
        <v>1</v>
      </c>
      <c r="M352">
        <v>300</v>
      </c>
      <c r="N352">
        <v>1140</v>
      </c>
      <c r="O352">
        <v>1</v>
      </c>
      <c r="P352">
        <v>139</v>
      </c>
      <c r="Q352">
        <v>278</v>
      </c>
      <c r="R352">
        <v>1</v>
      </c>
      <c r="S352">
        <v>4000000</v>
      </c>
      <c r="T352" t="s">
        <v>663</v>
      </c>
      <c r="U352" t="s">
        <v>661</v>
      </c>
      <c r="V352" t="s">
        <v>341</v>
      </c>
      <c r="W352">
        <v>937.5</v>
      </c>
      <c r="X352" t="b">
        <v>0</v>
      </c>
    </row>
    <row r="353" spans="1:24" x14ac:dyDescent="0.25">
      <c r="A353">
        <v>352</v>
      </c>
      <c r="B353" t="s">
        <v>664</v>
      </c>
      <c r="C353">
        <v>4</v>
      </c>
      <c r="D353">
        <v>8</v>
      </c>
      <c r="E353">
        <v>35</v>
      </c>
      <c r="F353">
        <v>0</v>
      </c>
      <c r="G353" t="s">
        <v>112</v>
      </c>
      <c r="H353">
        <v>1</v>
      </c>
      <c r="I353" t="s">
        <v>112</v>
      </c>
      <c r="J353">
        <v>215</v>
      </c>
      <c r="K353">
        <v>559</v>
      </c>
      <c r="L353">
        <v>1</v>
      </c>
      <c r="M353">
        <v>280</v>
      </c>
      <c r="N353">
        <v>588</v>
      </c>
      <c r="O353">
        <v>1</v>
      </c>
      <c r="P353">
        <v>129</v>
      </c>
      <c r="Q353">
        <v>271</v>
      </c>
      <c r="R353">
        <v>1</v>
      </c>
      <c r="S353">
        <v>1500000</v>
      </c>
      <c r="T353" t="s">
        <v>665</v>
      </c>
      <c r="U353" t="s">
        <v>666</v>
      </c>
      <c r="W353">
        <v>450</v>
      </c>
      <c r="X353" t="b">
        <v>0</v>
      </c>
    </row>
    <row r="354" spans="1:24" x14ac:dyDescent="0.25">
      <c r="A354">
        <v>353</v>
      </c>
      <c r="B354" t="s">
        <v>667</v>
      </c>
      <c r="C354">
        <v>5</v>
      </c>
      <c r="D354">
        <v>16</v>
      </c>
      <c r="E354">
        <v>99</v>
      </c>
      <c r="F354">
        <v>0</v>
      </c>
      <c r="G354" t="s">
        <v>112</v>
      </c>
      <c r="H354">
        <v>1</v>
      </c>
      <c r="I354">
        <v>7</v>
      </c>
      <c r="J354">
        <v>447</v>
      </c>
      <c r="K354">
        <v>1028</v>
      </c>
      <c r="L354">
        <v>1</v>
      </c>
      <c r="M354">
        <v>529</v>
      </c>
      <c r="N354">
        <v>1270</v>
      </c>
      <c r="O354">
        <v>1</v>
      </c>
      <c r="P354">
        <v>244</v>
      </c>
      <c r="Q354">
        <v>366</v>
      </c>
      <c r="R354">
        <v>1</v>
      </c>
      <c r="S354">
        <v>3000000</v>
      </c>
      <c r="T354" t="s">
        <v>665</v>
      </c>
      <c r="U354" t="s">
        <v>666</v>
      </c>
      <c r="V354" t="s">
        <v>668</v>
      </c>
      <c r="W354">
        <v>787.5</v>
      </c>
      <c r="X354" t="b">
        <v>0</v>
      </c>
    </row>
    <row r="355" spans="1:24" x14ac:dyDescent="0.25">
      <c r="A355">
        <v>354</v>
      </c>
      <c r="B355" t="s">
        <v>669</v>
      </c>
      <c r="C355">
        <v>4</v>
      </c>
      <c r="D355">
        <v>8</v>
      </c>
      <c r="E355">
        <v>35</v>
      </c>
      <c r="F355">
        <v>1</v>
      </c>
      <c r="G355" t="s">
        <v>112</v>
      </c>
      <c r="H355">
        <v>1</v>
      </c>
      <c r="I355" t="s">
        <v>112</v>
      </c>
      <c r="J355">
        <v>210</v>
      </c>
      <c r="K355">
        <v>546</v>
      </c>
      <c r="L355">
        <v>1</v>
      </c>
      <c r="M355">
        <v>263</v>
      </c>
      <c r="N355">
        <v>552</v>
      </c>
      <c r="O355">
        <v>1</v>
      </c>
      <c r="P355">
        <v>137</v>
      </c>
      <c r="Q355">
        <v>288</v>
      </c>
      <c r="R355">
        <v>1</v>
      </c>
      <c r="S355">
        <v>1500000</v>
      </c>
      <c r="T355" t="s">
        <v>670</v>
      </c>
      <c r="U355" t="s">
        <v>671</v>
      </c>
      <c r="W355">
        <v>450</v>
      </c>
      <c r="X355" t="b">
        <v>0</v>
      </c>
    </row>
    <row r="356" spans="1:24" x14ac:dyDescent="0.25">
      <c r="A356">
        <v>355</v>
      </c>
      <c r="B356" t="s">
        <v>672</v>
      </c>
      <c r="C356">
        <v>5</v>
      </c>
      <c r="D356">
        <v>16</v>
      </c>
      <c r="E356">
        <v>99</v>
      </c>
      <c r="F356">
        <v>1</v>
      </c>
      <c r="G356" t="s">
        <v>112</v>
      </c>
      <c r="H356">
        <v>1</v>
      </c>
      <c r="I356" t="s">
        <v>112</v>
      </c>
      <c r="J356">
        <v>437</v>
      </c>
      <c r="K356">
        <v>1005</v>
      </c>
      <c r="L356">
        <v>1</v>
      </c>
      <c r="M356">
        <v>497</v>
      </c>
      <c r="N356">
        <v>1193</v>
      </c>
      <c r="O356">
        <v>1</v>
      </c>
      <c r="P356">
        <v>259</v>
      </c>
      <c r="Q356">
        <v>389</v>
      </c>
      <c r="R356">
        <v>1</v>
      </c>
      <c r="S356">
        <v>3000000</v>
      </c>
      <c r="T356" t="s">
        <v>670</v>
      </c>
      <c r="U356" t="s">
        <v>671</v>
      </c>
      <c r="V356" t="s">
        <v>673</v>
      </c>
      <c r="W356">
        <v>787.5</v>
      </c>
      <c r="X356" t="b">
        <v>0</v>
      </c>
    </row>
    <row r="357" spans="1:24" x14ac:dyDescent="0.25">
      <c r="A357">
        <v>356</v>
      </c>
      <c r="B357" t="s">
        <v>674</v>
      </c>
      <c r="C357">
        <v>4</v>
      </c>
      <c r="D357">
        <v>8</v>
      </c>
      <c r="E357">
        <v>35</v>
      </c>
      <c r="F357">
        <v>2</v>
      </c>
      <c r="G357" t="s">
        <v>112</v>
      </c>
      <c r="H357">
        <v>1</v>
      </c>
      <c r="I357" t="s">
        <v>112</v>
      </c>
      <c r="J357">
        <v>206</v>
      </c>
      <c r="K357">
        <v>536</v>
      </c>
      <c r="L357">
        <v>1</v>
      </c>
      <c r="M357">
        <v>270</v>
      </c>
      <c r="N357">
        <v>567</v>
      </c>
      <c r="O357">
        <v>1</v>
      </c>
      <c r="P357">
        <v>132</v>
      </c>
      <c r="Q357">
        <v>277</v>
      </c>
      <c r="R357">
        <v>1</v>
      </c>
      <c r="S357">
        <v>1500000</v>
      </c>
      <c r="T357" t="s">
        <v>675</v>
      </c>
      <c r="U357" t="s">
        <v>676</v>
      </c>
      <c r="W357">
        <v>450</v>
      </c>
      <c r="X357" t="b">
        <v>0</v>
      </c>
    </row>
    <row r="358" spans="1:24" x14ac:dyDescent="0.25">
      <c r="A358">
        <v>357</v>
      </c>
      <c r="B358" t="s">
        <v>677</v>
      </c>
      <c r="C358">
        <v>5</v>
      </c>
      <c r="D358">
        <v>16</v>
      </c>
      <c r="E358">
        <v>99</v>
      </c>
      <c r="F358">
        <v>2</v>
      </c>
      <c r="G358" t="s">
        <v>112</v>
      </c>
      <c r="H358">
        <v>1</v>
      </c>
      <c r="I358" t="s">
        <v>112</v>
      </c>
      <c r="J358">
        <v>429</v>
      </c>
      <c r="K358">
        <v>987</v>
      </c>
      <c r="L358">
        <v>1</v>
      </c>
      <c r="M358">
        <v>510</v>
      </c>
      <c r="N358">
        <v>1224</v>
      </c>
      <c r="O358">
        <v>1</v>
      </c>
      <c r="P358">
        <v>249</v>
      </c>
      <c r="Q358">
        <v>374</v>
      </c>
      <c r="R358">
        <v>1</v>
      </c>
      <c r="S358">
        <v>3000000</v>
      </c>
      <c r="T358" t="s">
        <v>675</v>
      </c>
      <c r="U358" t="s">
        <v>676</v>
      </c>
      <c r="V358" t="s">
        <v>678</v>
      </c>
      <c r="W358">
        <v>787.5</v>
      </c>
      <c r="X358" t="b">
        <v>0</v>
      </c>
    </row>
    <row r="359" spans="1:24" x14ac:dyDescent="0.25">
      <c r="A359">
        <v>358</v>
      </c>
      <c r="B359" t="s">
        <v>679</v>
      </c>
      <c r="C359">
        <v>4</v>
      </c>
      <c r="D359">
        <v>8</v>
      </c>
      <c r="E359">
        <v>35</v>
      </c>
      <c r="F359">
        <v>3</v>
      </c>
      <c r="G359" t="s">
        <v>112</v>
      </c>
      <c r="H359">
        <v>1</v>
      </c>
      <c r="I359" t="s">
        <v>112</v>
      </c>
      <c r="J359">
        <v>201</v>
      </c>
      <c r="K359">
        <v>523</v>
      </c>
      <c r="L359">
        <v>1</v>
      </c>
      <c r="M359">
        <v>266</v>
      </c>
      <c r="N359">
        <v>559</v>
      </c>
      <c r="O359">
        <v>1</v>
      </c>
      <c r="P359">
        <v>140</v>
      </c>
      <c r="Q359">
        <v>294</v>
      </c>
      <c r="R359">
        <v>1</v>
      </c>
      <c r="S359">
        <v>1500000</v>
      </c>
      <c r="T359" t="s">
        <v>680</v>
      </c>
      <c r="U359" t="s">
        <v>681</v>
      </c>
      <c r="W359">
        <v>450</v>
      </c>
      <c r="X359" t="b">
        <v>0</v>
      </c>
    </row>
    <row r="360" spans="1:24" x14ac:dyDescent="0.25">
      <c r="A360">
        <v>359</v>
      </c>
      <c r="B360" t="s">
        <v>682</v>
      </c>
      <c r="C360">
        <v>5</v>
      </c>
      <c r="D360">
        <v>16</v>
      </c>
      <c r="E360">
        <v>99</v>
      </c>
      <c r="F360">
        <v>3</v>
      </c>
      <c r="G360" t="s">
        <v>112</v>
      </c>
      <c r="H360">
        <v>1</v>
      </c>
      <c r="I360" t="s">
        <v>112</v>
      </c>
      <c r="J360">
        <v>418</v>
      </c>
      <c r="K360">
        <v>961</v>
      </c>
      <c r="L360">
        <v>1</v>
      </c>
      <c r="M360">
        <v>503</v>
      </c>
      <c r="N360">
        <v>1207</v>
      </c>
      <c r="O360">
        <v>1</v>
      </c>
      <c r="P360">
        <v>265</v>
      </c>
      <c r="Q360">
        <v>398</v>
      </c>
      <c r="R360">
        <v>1</v>
      </c>
      <c r="S360">
        <v>3000000</v>
      </c>
      <c r="T360" t="s">
        <v>680</v>
      </c>
      <c r="U360" t="s">
        <v>681</v>
      </c>
      <c r="V360" t="s">
        <v>683</v>
      </c>
      <c r="W360">
        <v>787.5</v>
      </c>
      <c r="X360" t="b">
        <v>0</v>
      </c>
    </row>
    <row r="361" spans="1:24" x14ac:dyDescent="0.25">
      <c r="A361">
        <v>360</v>
      </c>
      <c r="B361" t="s">
        <v>684</v>
      </c>
      <c r="C361">
        <v>4</v>
      </c>
      <c r="D361">
        <v>8</v>
      </c>
      <c r="E361">
        <v>35</v>
      </c>
      <c r="F361">
        <v>4</v>
      </c>
      <c r="G361" t="s">
        <v>112</v>
      </c>
      <c r="H361">
        <v>1</v>
      </c>
      <c r="I361" t="s">
        <v>112</v>
      </c>
      <c r="J361">
        <v>209</v>
      </c>
      <c r="K361">
        <v>543</v>
      </c>
      <c r="L361">
        <v>1</v>
      </c>
      <c r="M361">
        <v>276</v>
      </c>
      <c r="N361">
        <v>580</v>
      </c>
      <c r="O361">
        <v>1</v>
      </c>
      <c r="P361">
        <v>121</v>
      </c>
      <c r="Q361">
        <v>254</v>
      </c>
      <c r="R361">
        <v>1</v>
      </c>
      <c r="S361">
        <v>1500000</v>
      </c>
      <c r="T361" t="s">
        <v>685</v>
      </c>
      <c r="U361" t="s">
        <v>686</v>
      </c>
      <c r="W361">
        <v>450</v>
      </c>
      <c r="X361" t="b">
        <v>0</v>
      </c>
    </row>
    <row r="362" spans="1:24" x14ac:dyDescent="0.25">
      <c r="A362">
        <v>361</v>
      </c>
      <c r="B362" t="s">
        <v>687</v>
      </c>
      <c r="C362">
        <v>5</v>
      </c>
      <c r="D362">
        <v>16</v>
      </c>
      <c r="E362">
        <v>99</v>
      </c>
      <c r="F362">
        <v>4</v>
      </c>
      <c r="G362" t="s">
        <v>112</v>
      </c>
      <c r="H362">
        <v>1</v>
      </c>
      <c r="I362">
        <v>7</v>
      </c>
      <c r="J362">
        <v>434</v>
      </c>
      <c r="K362">
        <v>998</v>
      </c>
      <c r="L362">
        <v>1</v>
      </c>
      <c r="M362">
        <v>522</v>
      </c>
      <c r="N362">
        <v>1253</v>
      </c>
      <c r="O362">
        <v>1</v>
      </c>
      <c r="P362">
        <v>229</v>
      </c>
      <c r="Q362">
        <v>344</v>
      </c>
      <c r="R362">
        <v>1</v>
      </c>
      <c r="S362">
        <v>3000000</v>
      </c>
      <c r="T362" t="s">
        <v>685</v>
      </c>
      <c r="U362" t="s">
        <v>686</v>
      </c>
      <c r="V362" t="s">
        <v>688</v>
      </c>
      <c r="W362">
        <v>787.5</v>
      </c>
      <c r="X362" t="b">
        <v>0</v>
      </c>
    </row>
    <row r="363" spans="1:24" x14ac:dyDescent="0.25">
      <c r="A363">
        <v>362</v>
      </c>
      <c r="B363" t="s">
        <v>689</v>
      </c>
      <c r="C363">
        <v>5</v>
      </c>
      <c r="D363">
        <v>25</v>
      </c>
      <c r="E363">
        <v>50</v>
      </c>
      <c r="F363">
        <v>2</v>
      </c>
      <c r="G363" t="s">
        <v>112</v>
      </c>
      <c r="H363">
        <v>5</v>
      </c>
      <c r="I363" t="s">
        <v>112</v>
      </c>
      <c r="J363">
        <v>1123</v>
      </c>
      <c r="K363">
        <v>2358</v>
      </c>
      <c r="L363">
        <v>1</v>
      </c>
      <c r="M363">
        <v>758</v>
      </c>
      <c r="N363">
        <v>985</v>
      </c>
      <c r="O363">
        <v>1</v>
      </c>
      <c r="P363">
        <v>144</v>
      </c>
      <c r="Q363">
        <v>288</v>
      </c>
      <c r="R363">
        <v>1</v>
      </c>
      <c r="S363">
        <v>4000000</v>
      </c>
      <c r="T363" t="s">
        <v>690</v>
      </c>
      <c r="U363" t="s">
        <v>691</v>
      </c>
      <c r="W363">
        <v>1312.5</v>
      </c>
      <c r="X363" t="b">
        <v>0</v>
      </c>
    </row>
    <row r="364" spans="1:24" x14ac:dyDescent="0.25">
      <c r="A364">
        <v>363</v>
      </c>
      <c r="B364" t="s">
        <v>692</v>
      </c>
      <c r="C364">
        <v>6</v>
      </c>
      <c r="D364">
        <v>45</v>
      </c>
      <c r="E364">
        <v>99</v>
      </c>
      <c r="F364">
        <v>2</v>
      </c>
      <c r="G364">
        <v>3</v>
      </c>
      <c r="H364">
        <v>5</v>
      </c>
      <c r="I364">
        <v>1</v>
      </c>
      <c r="J364">
        <v>1886</v>
      </c>
      <c r="K364">
        <v>4149</v>
      </c>
      <c r="L364">
        <v>1</v>
      </c>
      <c r="M364">
        <v>887</v>
      </c>
      <c r="N364">
        <v>1203</v>
      </c>
      <c r="O364">
        <v>1</v>
      </c>
      <c r="P364">
        <v>259</v>
      </c>
      <c r="Q364">
        <v>518</v>
      </c>
      <c r="R364">
        <v>1</v>
      </c>
      <c r="S364">
        <v>4000000</v>
      </c>
      <c r="T364" t="s">
        <v>690</v>
      </c>
      <c r="U364" t="s">
        <v>691</v>
      </c>
      <c r="V364" t="s">
        <v>693</v>
      </c>
      <c r="W364">
        <v>2100</v>
      </c>
      <c r="X364" t="b">
        <v>0</v>
      </c>
    </row>
    <row r="365" spans="1:24" x14ac:dyDescent="0.25">
      <c r="A365">
        <v>364</v>
      </c>
      <c r="B365" t="s">
        <v>694</v>
      </c>
      <c r="C365">
        <v>6</v>
      </c>
      <c r="D365">
        <v>30</v>
      </c>
      <c r="E365">
        <v>50</v>
      </c>
      <c r="F365">
        <v>1</v>
      </c>
      <c r="G365" t="s">
        <v>112</v>
      </c>
      <c r="H365">
        <v>5</v>
      </c>
      <c r="I365" t="s">
        <v>112</v>
      </c>
      <c r="J365">
        <v>1158</v>
      </c>
      <c r="K365">
        <v>2432</v>
      </c>
      <c r="L365">
        <v>1</v>
      </c>
      <c r="M365">
        <v>783</v>
      </c>
      <c r="N365">
        <v>1018</v>
      </c>
      <c r="O365">
        <v>1</v>
      </c>
      <c r="P365">
        <v>152</v>
      </c>
      <c r="Q365">
        <v>304</v>
      </c>
      <c r="R365">
        <v>1</v>
      </c>
      <c r="S365">
        <v>4000000</v>
      </c>
      <c r="T365" t="s">
        <v>695</v>
      </c>
      <c r="U365" t="s">
        <v>2181</v>
      </c>
      <c r="W365">
        <v>1162.5</v>
      </c>
      <c r="X365" t="b">
        <v>0</v>
      </c>
    </row>
    <row r="366" spans="1:24" x14ac:dyDescent="0.25">
      <c r="A366">
        <v>365</v>
      </c>
      <c r="B366" t="s">
        <v>696</v>
      </c>
      <c r="C366">
        <v>7</v>
      </c>
      <c r="D366">
        <v>50</v>
      </c>
      <c r="E366">
        <v>99</v>
      </c>
      <c r="F366">
        <v>1</v>
      </c>
      <c r="G366">
        <v>4</v>
      </c>
      <c r="H366">
        <v>5</v>
      </c>
      <c r="I366">
        <v>2</v>
      </c>
      <c r="J366">
        <v>1946</v>
      </c>
      <c r="K366">
        <v>4531</v>
      </c>
      <c r="L366">
        <v>1</v>
      </c>
      <c r="M366">
        <v>916</v>
      </c>
      <c r="N366">
        <v>1191</v>
      </c>
      <c r="O366">
        <v>1</v>
      </c>
      <c r="P366">
        <v>274</v>
      </c>
      <c r="Q366">
        <v>548</v>
      </c>
      <c r="R366">
        <v>1</v>
      </c>
      <c r="S366">
        <v>4000000</v>
      </c>
      <c r="T366" t="s">
        <v>698</v>
      </c>
      <c r="U366" t="s">
        <v>2181</v>
      </c>
      <c r="V366" t="s">
        <v>697</v>
      </c>
      <c r="W366">
        <v>1950</v>
      </c>
      <c r="X366" t="b">
        <v>0</v>
      </c>
    </row>
    <row r="367" spans="1:24" x14ac:dyDescent="0.25">
      <c r="A367">
        <v>366</v>
      </c>
      <c r="B367" t="s">
        <v>699</v>
      </c>
      <c r="C367">
        <v>4</v>
      </c>
      <c r="D367">
        <v>15</v>
      </c>
      <c r="E367">
        <v>25</v>
      </c>
      <c r="F367">
        <v>2</v>
      </c>
      <c r="G367" t="s">
        <v>112</v>
      </c>
      <c r="H367">
        <v>4</v>
      </c>
      <c r="I367" t="s">
        <v>112</v>
      </c>
      <c r="J367">
        <v>367</v>
      </c>
      <c r="K367">
        <v>734</v>
      </c>
      <c r="L367">
        <v>0.7</v>
      </c>
      <c r="M367">
        <v>233</v>
      </c>
      <c r="N367">
        <v>396</v>
      </c>
      <c r="O367">
        <v>1.5</v>
      </c>
      <c r="P367">
        <v>91</v>
      </c>
      <c r="Q367">
        <v>182</v>
      </c>
      <c r="R367">
        <v>1.5</v>
      </c>
      <c r="S367">
        <v>1000000</v>
      </c>
      <c r="T367" t="s">
        <v>112</v>
      </c>
      <c r="U367" t="s">
        <v>700</v>
      </c>
      <c r="W367">
        <v>712.5</v>
      </c>
      <c r="X367" t="b">
        <v>0</v>
      </c>
    </row>
    <row r="368" spans="1:24" x14ac:dyDescent="0.25">
      <c r="A368">
        <v>367</v>
      </c>
      <c r="B368" t="s">
        <v>701</v>
      </c>
      <c r="C368">
        <v>5</v>
      </c>
      <c r="D368">
        <v>20</v>
      </c>
      <c r="E368">
        <v>99</v>
      </c>
      <c r="F368">
        <v>2</v>
      </c>
      <c r="G368">
        <v>1</v>
      </c>
      <c r="H368">
        <v>4</v>
      </c>
      <c r="I368" t="s">
        <v>112</v>
      </c>
      <c r="J368">
        <v>587</v>
      </c>
      <c r="K368">
        <v>1585</v>
      </c>
      <c r="L368">
        <v>0.7</v>
      </c>
      <c r="M368">
        <v>356</v>
      </c>
      <c r="N368">
        <v>1175</v>
      </c>
      <c r="O368">
        <v>0.7</v>
      </c>
      <c r="P368">
        <v>164</v>
      </c>
      <c r="Q368">
        <v>328</v>
      </c>
      <c r="R368">
        <v>0.7</v>
      </c>
      <c r="S368">
        <v>4000000</v>
      </c>
      <c r="T368" t="s">
        <v>702</v>
      </c>
      <c r="U368" t="s">
        <v>700</v>
      </c>
      <c r="V368" t="s">
        <v>2602</v>
      </c>
      <c r="W368">
        <v>937.5</v>
      </c>
      <c r="X368" t="b">
        <v>0</v>
      </c>
    </row>
    <row r="369" spans="1:24" x14ac:dyDescent="0.25">
      <c r="A369">
        <v>368</v>
      </c>
      <c r="B369" t="s">
        <v>703</v>
      </c>
      <c r="C369">
        <v>5</v>
      </c>
      <c r="D369">
        <v>20</v>
      </c>
      <c r="E369">
        <v>50</v>
      </c>
      <c r="F369">
        <v>0</v>
      </c>
      <c r="G369" t="s">
        <v>112</v>
      </c>
      <c r="H369">
        <v>5</v>
      </c>
      <c r="I369" t="s">
        <v>112</v>
      </c>
      <c r="J369">
        <v>526</v>
      </c>
      <c r="K369">
        <v>1262</v>
      </c>
      <c r="L369">
        <v>1.5</v>
      </c>
      <c r="M369">
        <v>482</v>
      </c>
      <c r="N369">
        <v>964</v>
      </c>
      <c r="O369">
        <v>1.5</v>
      </c>
      <c r="P369">
        <v>154</v>
      </c>
      <c r="Q369">
        <v>323</v>
      </c>
      <c r="R369">
        <v>1.5</v>
      </c>
      <c r="S369">
        <v>4000000</v>
      </c>
      <c r="T369" t="s">
        <v>492</v>
      </c>
      <c r="U369" t="s">
        <v>704</v>
      </c>
      <c r="W369">
        <v>937.5</v>
      </c>
      <c r="X369" t="b">
        <v>0</v>
      </c>
    </row>
    <row r="370" spans="1:24" x14ac:dyDescent="0.25">
      <c r="A370">
        <v>369</v>
      </c>
      <c r="B370" t="s">
        <v>705</v>
      </c>
      <c r="C370">
        <v>6</v>
      </c>
      <c r="D370">
        <v>30</v>
      </c>
      <c r="E370">
        <v>99</v>
      </c>
      <c r="F370">
        <v>0</v>
      </c>
      <c r="G370" t="s">
        <v>112</v>
      </c>
      <c r="H370">
        <v>5</v>
      </c>
      <c r="I370" t="s">
        <v>112</v>
      </c>
      <c r="J370">
        <v>1010</v>
      </c>
      <c r="K370">
        <v>2525</v>
      </c>
      <c r="L370">
        <v>1.5</v>
      </c>
      <c r="M370">
        <v>868</v>
      </c>
      <c r="N370">
        <v>1302</v>
      </c>
      <c r="O370">
        <v>1.5</v>
      </c>
      <c r="P370">
        <v>291</v>
      </c>
      <c r="Q370">
        <v>437</v>
      </c>
      <c r="R370">
        <v>1.5</v>
      </c>
      <c r="S370">
        <v>4000000</v>
      </c>
      <c r="T370" t="s">
        <v>706</v>
      </c>
      <c r="U370" t="s">
        <v>704</v>
      </c>
      <c r="V370" t="s">
        <v>2182</v>
      </c>
      <c r="W370">
        <v>1350</v>
      </c>
      <c r="X370" t="b">
        <v>0</v>
      </c>
    </row>
    <row r="371" spans="1:24" x14ac:dyDescent="0.25">
      <c r="A371">
        <v>370</v>
      </c>
      <c r="B371" t="s">
        <v>707</v>
      </c>
      <c r="C371">
        <v>5</v>
      </c>
      <c r="D371">
        <v>20</v>
      </c>
      <c r="E371">
        <v>50</v>
      </c>
      <c r="F371">
        <v>1</v>
      </c>
      <c r="G371" t="s">
        <v>112</v>
      </c>
      <c r="H371">
        <v>5</v>
      </c>
      <c r="I371" t="s">
        <v>112</v>
      </c>
      <c r="J371">
        <v>503</v>
      </c>
      <c r="K371">
        <v>1207</v>
      </c>
      <c r="L371">
        <v>1.5</v>
      </c>
      <c r="M371">
        <v>456</v>
      </c>
      <c r="N371">
        <v>912</v>
      </c>
      <c r="O371">
        <v>1.5</v>
      </c>
      <c r="P371">
        <v>183</v>
      </c>
      <c r="Q371">
        <v>384</v>
      </c>
      <c r="R371">
        <v>1.5</v>
      </c>
      <c r="S371">
        <v>4000000</v>
      </c>
      <c r="T371" t="s">
        <v>496</v>
      </c>
      <c r="U371" t="s">
        <v>708</v>
      </c>
      <c r="W371">
        <v>937.5</v>
      </c>
      <c r="X371" t="b">
        <v>0</v>
      </c>
    </row>
    <row r="372" spans="1:24" x14ac:dyDescent="0.25">
      <c r="A372">
        <v>371</v>
      </c>
      <c r="B372" t="s">
        <v>709</v>
      </c>
      <c r="C372">
        <v>6</v>
      </c>
      <c r="D372">
        <v>30</v>
      </c>
      <c r="E372">
        <v>99</v>
      </c>
      <c r="F372">
        <v>1</v>
      </c>
      <c r="G372" t="s">
        <v>112</v>
      </c>
      <c r="H372">
        <v>5</v>
      </c>
      <c r="I372" t="s">
        <v>112</v>
      </c>
      <c r="J372">
        <v>966</v>
      </c>
      <c r="K372">
        <v>2415</v>
      </c>
      <c r="L372">
        <v>1.5</v>
      </c>
      <c r="M372">
        <v>821</v>
      </c>
      <c r="N372">
        <v>1232</v>
      </c>
      <c r="O372">
        <v>1.5</v>
      </c>
      <c r="P372">
        <v>346</v>
      </c>
      <c r="Q372">
        <v>519</v>
      </c>
      <c r="R372">
        <v>1.5</v>
      </c>
      <c r="S372">
        <v>4000000</v>
      </c>
      <c r="T372" t="s">
        <v>710</v>
      </c>
      <c r="U372" t="s">
        <v>708</v>
      </c>
      <c r="V372" t="s">
        <v>2183</v>
      </c>
      <c r="W372">
        <v>1350</v>
      </c>
      <c r="X372" t="b">
        <v>0</v>
      </c>
    </row>
    <row r="373" spans="1:24" x14ac:dyDescent="0.25">
      <c r="A373">
        <v>372</v>
      </c>
      <c r="B373" t="s">
        <v>711</v>
      </c>
      <c r="C373">
        <v>5</v>
      </c>
      <c r="D373">
        <v>20</v>
      </c>
      <c r="E373">
        <v>50</v>
      </c>
      <c r="F373">
        <v>2</v>
      </c>
      <c r="G373" t="s">
        <v>112</v>
      </c>
      <c r="H373">
        <v>5</v>
      </c>
      <c r="I373" t="s">
        <v>112</v>
      </c>
      <c r="J373">
        <v>507</v>
      </c>
      <c r="K373">
        <v>1217</v>
      </c>
      <c r="L373">
        <v>1.5</v>
      </c>
      <c r="M373">
        <v>450</v>
      </c>
      <c r="N373">
        <v>900</v>
      </c>
      <c r="O373">
        <v>1.5</v>
      </c>
      <c r="P373">
        <v>180</v>
      </c>
      <c r="Q373">
        <v>378</v>
      </c>
      <c r="R373">
        <v>1.5</v>
      </c>
      <c r="S373">
        <v>4000000</v>
      </c>
      <c r="T373" t="s">
        <v>500</v>
      </c>
      <c r="U373" t="s">
        <v>712</v>
      </c>
      <c r="W373">
        <v>937.5</v>
      </c>
      <c r="X373" t="b">
        <v>0</v>
      </c>
    </row>
    <row r="374" spans="1:24" x14ac:dyDescent="0.25">
      <c r="A374">
        <v>373</v>
      </c>
      <c r="B374" t="s">
        <v>713</v>
      </c>
      <c r="C374">
        <v>6</v>
      </c>
      <c r="D374">
        <v>30</v>
      </c>
      <c r="E374">
        <v>99</v>
      </c>
      <c r="F374">
        <v>2</v>
      </c>
      <c r="G374" t="s">
        <v>112</v>
      </c>
      <c r="H374">
        <v>5</v>
      </c>
      <c r="I374" t="s">
        <v>112</v>
      </c>
      <c r="J374">
        <v>974</v>
      </c>
      <c r="K374">
        <v>2435</v>
      </c>
      <c r="L374">
        <v>1.5</v>
      </c>
      <c r="M374">
        <v>810</v>
      </c>
      <c r="N374">
        <v>1215</v>
      </c>
      <c r="O374">
        <v>1.5</v>
      </c>
      <c r="P374">
        <v>340</v>
      </c>
      <c r="Q374">
        <v>510</v>
      </c>
      <c r="R374">
        <v>1.5</v>
      </c>
      <c r="S374">
        <v>4000000</v>
      </c>
      <c r="T374" t="s">
        <v>714</v>
      </c>
      <c r="U374" t="s">
        <v>712</v>
      </c>
      <c r="V374" t="s">
        <v>2184</v>
      </c>
      <c r="W374">
        <v>1350</v>
      </c>
      <c r="X374" t="b">
        <v>0</v>
      </c>
    </row>
    <row r="375" spans="1:24" x14ac:dyDescent="0.25">
      <c r="A375">
        <v>374</v>
      </c>
      <c r="B375" t="s">
        <v>715</v>
      </c>
      <c r="C375">
        <v>5</v>
      </c>
      <c r="D375">
        <v>20</v>
      </c>
      <c r="E375">
        <v>50</v>
      </c>
      <c r="F375">
        <v>3</v>
      </c>
      <c r="G375" t="s">
        <v>112</v>
      </c>
      <c r="H375">
        <v>5</v>
      </c>
      <c r="I375" t="s">
        <v>112</v>
      </c>
      <c r="J375">
        <v>586</v>
      </c>
      <c r="K375">
        <v>1406</v>
      </c>
      <c r="L375">
        <v>1.5</v>
      </c>
      <c r="M375">
        <v>500</v>
      </c>
      <c r="N375">
        <v>1000</v>
      </c>
      <c r="O375">
        <v>1.5</v>
      </c>
      <c r="P375">
        <v>100</v>
      </c>
      <c r="Q375">
        <v>210</v>
      </c>
      <c r="R375">
        <v>1.5</v>
      </c>
      <c r="S375">
        <v>4000000</v>
      </c>
      <c r="T375" t="s">
        <v>716</v>
      </c>
      <c r="U375" t="s">
        <v>717</v>
      </c>
      <c r="W375">
        <v>937.5</v>
      </c>
      <c r="X375" t="b">
        <v>0</v>
      </c>
    </row>
    <row r="376" spans="1:24" x14ac:dyDescent="0.25">
      <c r="A376">
        <v>375</v>
      </c>
      <c r="B376" t="s">
        <v>718</v>
      </c>
      <c r="C376">
        <v>6</v>
      </c>
      <c r="D376">
        <v>30</v>
      </c>
      <c r="E376">
        <v>99</v>
      </c>
      <c r="F376">
        <v>3</v>
      </c>
      <c r="G376" t="s">
        <v>112</v>
      </c>
      <c r="H376">
        <v>5</v>
      </c>
      <c r="I376" t="s">
        <v>112</v>
      </c>
      <c r="J376">
        <v>1125</v>
      </c>
      <c r="K376">
        <v>2813</v>
      </c>
      <c r="L376">
        <v>1.5</v>
      </c>
      <c r="M376">
        <v>900</v>
      </c>
      <c r="N376">
        <v>1350</v>
      </c>
      <c r="O376">
        <v>1.5</v>
      </c>
      <c r="P376">
        <v>189</v>
      </c>
      <c r="Q376">
        <v>284</v>
      </c>
      <c r="R376">
        <v>1.5</v>
      </c>
      <c r="S376">
        <v>4000000</v>
      </c>
      <c r="T376" t="s">
        <v>719</v>
      </c>
      <c r="U376" t="s">
        <v>717</v>
      </c>
      <c r="V376" t="s">
        <v>2185</v>
      </c>
      <c r="W376">
        <v>1350</v>
      </c>
      <c r="X376" t="b">
        <v>0</v>
      </c>
    </row>
    <row r="377" spans="1:24" x14ac:dyDescent="0.25">
      <c r="A377">
        <v>376</v>
      </c>
      <c r="B377" t="s">
        <v>720</v>
      </c>
      <c r="C377">
        <v>5</v>
      </c>
      <c r="D377">
        <v>20</v>
      </c>
      <c r="E377">
        <v>50</v>
      </c>
      <c r="F377">
        <v>4</v>
      </c>
      <c r="G377" t="s">
        <v>112</v>
      </c>
      <c r="H377">
        <v>5</v>
      </c>
      <c r="I377" t="s">
        <v>112</v>
      </c>
      <c r="J377">
        <v>514</v>
      </c>
      <c r="K377">
        <v>1234</v>
      </c>
      <c r="L377">
        <v>1.5</v>
      </c>
      <c r="M377">
        <v>467</v>
      </c>
      <c r="N377">
        <v>934</v>
      </c>
      <c r="O377">
        <v>1.5</v>
      </c>
      <c r="P377">
        <v>168</v>
      </c>
      <c r="Q377">
        <v>353</v>
      </c>
      <c r="R377">
        <v>1.5</v>
      </c>
      <c r="S377">
        <v>4000000</v>
      </c>
      <c r="T377" t="s">
        <v>721</v>
      </c>
      <c r="U377" t="s">
        <v>722</v>
      </c>
      <c r="W377">
        <v>937.5</v>
      </c>
      <c r="X377" t="b">
        <v>0</v>
      </c>
    </row>
    <row r="378" spans="1:24" x14ac:dyDescent="0.25">
      <c r="A378">
        <v>377</v>
      </c>
      <c r="B378" t="s">
        <v>723</v>
      </c>
      <c r="C378">
        <v>6</v>
      </c>
      <c r="D378">
        <v>30</v>
      </c>
      <c r="E378">
        <v>99</v>
      </c>
      <c r="F378">
        <v>4</v>
      </c>
      <c r="G378" t="s">
        <v>112</v>
      </c>
      <c r="H378">
        <v>5</v>
      </c>
      <c r="I378" t="s">
        <v>112</v>
      </c>
      <c r="J378">
        <v>987</v>
      </c>
      <c r="K378">
        <v>2468</v>
      </c>
      <c r="L378">
        <v>1.5</v>
      </c>
      <c r="M378">
        <v>841</v>
      </c>
      <c r="N378">
        <v>1262</v>
      </c>
      <c r="O378">
        <v>1.5</v>
      </c>
      <c r="P378">
        <v>318</v>
      </c>
      <c r="Q378">
        <v>477</v>
      </c>
      <c r="R378">
        <v>1.5</v>
      </c>
      <c r="S378">
        <v>4000000</v>
      </c>
      <c r="T378" t="s">
        <v>724</v>
      </c>
      <c r="U378" t="s">
        <v>722</v>
      </c>
      <c r="V378" t="s">
        <v>2186</v>
      </c>
      <c r="W378">
        <v>1350</v>
      </c>
      <c r="X378" t="b">
        <v>0</v>
      </c>
    </row>
    <row r="379" spans="1:24" x14ac:dyDescent="0.25">
      <c r="A379">
        <v>378</v>
      </c>
      <c r="B379" t="s">
        <v>725</v>
      </c>
      <c r="C379">
        <v>5</v>
      </c>
      <c r="D379">
        <v>8</v>
      </c>
      <c r="E379">
        <v>50</v>
      </c>
      <c r="F379">
        <v>0</v>
      </c>
      <c r="G379">
        <v>2</v>
      </c>
      <c r="H379">
        <v>6</v>
      </c>
      <c r="I379" t="s">
        <v>112</v>
      </c>
      <c r="J379">
        <v>176</v>
      </c>
      <c r="K379">
        <v>704</v>
      </c>
      <c r="L379">
        <v>1</v>
      </c>
      <c r="M379">
        <v>165</v>
      </c>
      <c r="N379">
        <v>578</v>
      </c>
      <c r="O379">
        <v>1</v>
      </c>
      <c r="P379">
        <v>28</v>
      </c>
      <c r="Q379">
        <v>59</v>
      </c>
      <c r="R379">
        <v>1</v>
      </c>
      <c r="S379">
        <v>1500000</v>
      </c>
      <c r="T379" t="s">
        <v>726</v>
      </c>
      <c r="U379" t="s">
        <v>727</v>
      </c>
      <c r="W379">
        <v>487.5</v>
      </c>
      <c r="X379" t="b">
        <v>0</v>
      </c>
    </row>
    <row r="380" spans="1:24" x14ac:dyDescent="0.25">
      <c r="A380">
        <v>379</v>
      </c>
      <c r="B380" t="s">
        <v>728</v>
      </c>
      <c r="C380">
        <v>6</v>
      </c>
      <c r="D380">
        <v>16</v>
      </c>
      <c r="E380">
        <v>99</v>
      </c>
      <c r="F380">
        <v>0</v>
      </c>
      <c r="G380">
        <v>2</v>
      </c>
      <c r="H380">
        <v>6</v>
      </c>
      <c r="I380">
        <v>4</v>
      </c>
      <c r="J380">
        <v>563</v>
      </c>
      <c r="K380">
        <v>2002</v>
      </c>
      <c r="L380">
        <v>1</v>
      </c>
      <c r="M380">
        <v>520</v>
      </c>
      <c r="N380">
        <v>1560</v>
      </c>
      <c r="O380">
        <v>1</v>
      </c>
      <c r="P380">
        <v>53</v>
      </c>
      <c r="Q380">
        <v>80</v>
      </c>
      <c r="R380">
        <v>1</v>
      </c>
      <c r="S380">
        <v>3000000</v>
      </c>
      <c r="T380" t="s">
        <v>730</v>
      </c>
      <c r="U380" t="s">
        <v>727</v>
      </c>
      <c r="V380" t="s">
        <v>729</v>
      </c>
      <c r="W380">
        <v>825</v>
      </c>
      <c r="X380" t="b">
        <v>0</v>
      </c>
    </row>
    <row r="381" spans="1:24" x14ac:dyDescent="0.25">
      <c r="A381">
        <v>380</v>
      </c>
      <c r="B381" t="s">
        <v>731</v>
      </c>
      <c r="C381">
        <v>5</v>
      </c>
      <c r="D381">
        <v>8</v>
      </c>
      <c r="E381">
        <v>50</v>
      </c>
      <c r="F381">
        <v>1</v>
      </c>
      <c r="G381">
        <v>0</v>
      </c>
      <c r="H381">
        <v>6</v>
      </c>
      <c r="I381" t="s">
        <v>112</v>
      </c>
      <c r="J381">
        <v>181</v>
      </c>
      <c r="K381">
        <v>724</v>
      </c>
      <c r="L381">
        <v>1</v>
      </c>
      <c r="M381">
        <v>164</v>
      </c>
      <c r="N381">
        <v>574</v>
      </c>
      <c r="O381">
        <v>1</v>
      </c>
      <c r="P381">
        <v>36</v>
      </c>
      <c r="Q381">
        <v>76</v>
      </c>
      <c r="R381">
        <v>1</v>
      </c>
      <c r="S381">
        <v>1500000</v>
      </c>
      <c r="T381" t="s">
        <v>726</v>
      </c>
      <c r="U381" t="s">
        <v>732</v>
      </c>
      <c r="W381">
        <v>487.5</v>
      </c>
      <c r="X381" t="b">
        <v>0</v>
      </c>
    </row>
    <row r="382" spans="1:24" x14ac:dyDescent="0.25">
      <c r="A382">
        <v>381</v>
      </c>
      <c r="B382" t="s">
        <v>733</v>
      </c>
      <c r="C382">
        <v>6</v>
      </c>
      <c r="D382">
        <v>16</v>
      </c>
      <c r="E382">
        <v>99</v>
      </c>
      <c r="F382">
        <v>1</v>
      </c>
      <c r="G382">
        <v>0</v>
      </c>
      <c r="H382">
        <v>6</v>
      </c>
      <c r="I382">
        <v>7</v>
      </c>
      <c r="J382">
        <v>579</v>
      </c>
      <c r="K382">
        <v>2053</v>
      </c>
      <c r="L382">
        <v>1</v>
      </c>
      <c r="M382">
        <v>517</v>
      </c>
      <c r="N382">
        <v>1551</v>
      </c>
      <c r="O382">
        <v>1</v>
      </c>
      <c r="P382">
        <v>68</v>
      </c>
      <c r="Q382">
        <v>102</v>
      </c>
      <c r="R382">
        <v>1</v>
      </c>
      <c r="S382">
        <v>3000000</v>
      </c>
      <c r="T382" t="s">
        <v>730</v>
      </c>
      <c r="U382" t="s">
        <v>732</v>
      </c>
      <c r="V382" t="s">
        <v>734</v>
      </c>
      <c r="W382">
        <v>825</v>
      </c>
      <c r="X382" t="b">
        <v>0</v>
      </c>
    </row>
    <row r="383" spans="1:24" x14ac:dyDescent="0.25">
      <c r="A383">
        <v>382</v>
      </c>
      <c r="B383" t="s">
        <v>735</v>
      </c>
      <c r="C383">
        <v>5</v>
      </c>
      <c r="D383">
        <v>8</v>
      </c>
      <c r="E383">
        <v>50</v>
      </c>
      <c r="F383">
        <v>2</v>
      </c>
      <c r="G383">
        <v>1</v>
      </c>
      <c r="H383">
        <v>6</v>
      </c>
      <c r="I383" t="s">
        <v>112</v>
      </c>
      <c r="J383">
        <v>170</v>
      </c>
      <c r="K383">
        <v>680</v>
      </c>
      <c r="L383">
        <v>1</v>
      </c>
      <c r="M383">
        <v>163</v>
      </c>
      <c r="N383">
        <v>571</v>
      </c>
      <c r="O383">
        <v>1</v>
      </c>
      <c r="P383">
        <v>34</v>
      </c>
      <c r="Q383">
        <v>71</v>
      </c>
      <c r="R383">
        <v>1</v>
      </c>
      <c r="S383">
        <v>1500000</v>
      </c>
      <c r="T383" t="s">
        <v>726</v>
      </c>
      <c r="U383" t="s">
        <v>736</v>
      </c>
      <c r="W383">
        <v>487.5</v>
      </c>
      <c r="X383" t="b">
        <v>0</v>
      </c>
    </row>
    <row r="384" spans="1:24" x14ac:dyDescent="0.25">
      <c r="A384">
        <v>383</v>
      </c>
      <c r="B384" t="s">
        <v>737</v>
      </c>
      <c r="C384">
        <v>6</v>
      </c>
      <c r="D384">
        <v>16</v>
      </c>
      <c r="E384">
        <v>99</v>
      </c>
      <c r="F384">
        <v>2</v>
      </c>
      <c r="G384">
        <v>1</v>
      </c>
      <c r="H384">
        <v>6</v>
      </c>
      <c r="I384">
        <v>7</v>
      </c>
      <c r="J384">
        <v>544</v>
      </c>
      <c r="K384">
        <v>1941</v>
      </c>
      <c r="L384">
        <v>1</v>
      </c>
      <c r="M384">
        <v>514</v>
      </c>
      <c r="N384">
        <v>1542</v>
      </c>
      <c r="O384">
        <v>1</v>
      </c>
      <c r="P384">
        <v>64</v>
      </c>
      <c r="Q384">
        <v>96</v>
      </c>
      <c r="R384">
        <v>1</v>
      </c>
      <c r="S384">
        <v>3000000</v>
      </c>
      <c r="T384" t="s">
        <v>730</v>
      </c>
      <c r="U384" t="s">
        <v>736</v>
      </c>
      <c r="V384" t="s">
        <v>738</v>
      </c>
      <c r="W384">
        <v>825</v>
      </c>
      <c r="X384" t="b">
        <v>0</v>
      </c>
    </row>
    <row r="385" spans="1:24" x14ac:dyDescent="0.25">
      <c r="A385">
        <v>384</v>
      </c>
      <c r="B385" t="s">
        <v>739</v>
      </c>
      <c r="C385">
        <v>5</v>
      </c>
      <c r="D385">
        <v>8</v>
      </c>
      <c r="E385">
        <v>50</v>
      </c>
      <c r="F385">
        <v>3</v>
      </c>
      <c r="G385">
        <v>4</v>
      </c>
      <c r="H385">
        <v>6</v>
      </c>
      <c r="I385" t="s">
        <v>112</v>
      </c>
      <c r="J385">
        <v>179</v>
      </c>
      <c r="K385">
        <v>716</v>
      </c>
      <c r="L385">
        <v>1</v>
      </c>
      <c r="M385">
        <v>168</v>
      </c>
      <c r="N385">
        <v>521</v>
      </c>
      <c r="O385">
        <v>1</v>
      </c>
      <c r="P385">
        <v>25</v>
      </c>
      <c r="Q385">
        <v>53</v>
      </c>
      <c r="R385">
        <v>1</v>
      </c>
      <c r="S385">
        <v>1500000</v>
      </c>
      <c r="T385" t="s">
        <v>726</v>
      </c>
      <c r="U385" t="s">
        <v>740</v>
      </c>
      <c r="W385">
        <v>487.5</v>
      </c>
      <c r="X385" t="b">
        <v>0</v>
      </c>
    </row>
    <row r="386" spans="1:24" x14ac:dyDescent="0.25">
      <c r="A386">
        <v>385</v>
      </c>
      <c r="B386" t="s">
        <v>741</v>
      </c>
      <c r="C386">
        <v>6</v>
      </c>
      <c r="D386">
        <v>16</v>
      </c>
      <c r="E386">
        <v>99</v>
      </c>
      <c r="F386">
        <v>3</v>
      </c>
      <c r="G386">
        <v>4</v>
      </c>
      <c r="H386">
        <v>6</v>
      </c>
      <c r="I386">
        <v>4</v>
      </c>
      <c r="J386">
        <v>573</v>
      </c>
      <c r="K386">
        <v>2206</v>
      </c>
      <c r="L386">
        <v>1</v>
      </c>
      <c r="M386">
        <v>469</v>
      </c>
      <c r="N386">
        <v>1407</v>
      </c>
      <c r="O386">
        <v>1</v>
      </c>
      <c r="P386">
        <v>48</v>
      </c>
      <c r="Q386">
        <v>72</v>
      </c>
      <c r="R386">
        <v>1</v>
      </c>
      <c r="S386">
        <v>3000000</v>
      </c>
      <c r="T386" t="s">
        <v>730</v>
      </c>
      <c r="U386" t="s">
        <v>740</v>
      </c>
      <c r="V386" t="s">
        <v>742</v>
      </c>
      <c r="W386">
        <v>825</v>
      </c>
      <c r="X386" t="b">
        <v>0</v>
      </c>
    </row>
    <row r="387" spans="1:24" x14ac:dyDescent="0.25">
      <c r="A387">
        <v>386</v>
      </c>
      <c r="B387" t="s">
        <v>743</v>
      </c>
      <c r="C387">
        <v>5</v>
      </c>
      <c r="D387">
        <v>8</v>
      </c>
      <c r="E387">
        <v>50</v>
      </c>
      <c r="F387">
        <v>4</v>
      </c>
      <c r="G387">
        <v>3</v>
      </c>
      <c r="H387">
        <v>6</v>
      </c>
      <c r="I387" t="s">
        <v>112</v>
      </c>
      <c r="J387">
        <v>174</v>
      </c>
      <c r="K387">
        <v>696</v>
      </c>
      <c r="L387">
        <v>1</v>
      </c>
      <c r="M387">
        <v>169</v>
      </c>
      <c r="N387">
        <v>524</v>
      </c>
      <c r="O387">
        <v>1</v>
      </c>
      <c r="P387">
        <v>30</v>
      </c>
      <c r="Q387">
        <v>63</v>
      </c>
      <c r="R387">
        <v>1</v>
      </c>
      <c r="S387">
        <v>1500000</v>
      </c>
      <c r="T387" t="s">
        <v>726</v>
      </c>
      <c r="U387" t="s">
        <v>744</v>
      </c>
      <c r="W387">
        <v>487.5</v>
      </c>
      <c r="X387" t="b">
        <v>0</v>
      </c>
    </row>
    <row r="388" spans="1:24" x14ac:dyDescent="0.25">
      <c r="A388">
        <v>387</v>
      </c>
      <c r="B388" t="s">
        <v>745</v>
      </c>
      <c r="C388">
        <v>6</v>
      </c>
      <c r="D388">
        <v>16</v>
      </c>
      <c r="E388">
        <v>99</v>
      </c>
      <c r="F388">
        <v>4</v>
      </c>
      <c r="G388">
        <v>3</v>
      </c>
      <c r="H388">
        <v>6</v>
      </c>
      <c r="I388">
        <v>7</v>
      </c>
      <c r="J388">
        <v>557</v>
      </c>
      <c r="K388">
        <v>2150</v>
      </c>
      <c r="L388">
        <v>1</v>
      </c>
      <c r="M388">
        <v>472</v>
      </c>
      <c r="N388">
        <v>1416</v>
      </c>
      <c r="O388">
        <v>1</v>
      </c>
      <c r="P388">
        <v>57</v>
      </c>
      <c r="Q388">
        <v>86</v>
      </c>
      <c r="R388">
        <v>1</v>
      </c>
      <c r="S388">
        <v>3000000</v>
      </c>
      <c r="T388" t="s">
        <v>730</v>
      </c>
      <c r="U388" t="s">
        <v>744</v>
      </c>
      <c r="V388" t="s">
        <v>746</v>
      </c>
      <c r="W388">
        <v>825</v>
      </c>
      <c r="X388" t="b">
        <v>0</v>
      </c>
    </row>
    <row r="389" spans="1:24" x14ac:dyDescent="0.25">
      <c r="A389">
        <v>388</v>
      </c>
      <c r="B389" t="s">
        <v>2187</v>
      </c>
      <c r="C389">
        <v>7</v>
      </c>
      <c r="D389">
        <v>30</v>
      </c>
      <c r="E389">
        <v>99</v>
      </c>
      <c r="F389">
        <v>0</v>
      </c>
      <c r="G389">
        <v>3</v>
      </c>
      <c r="H389">
        <v>5</v>
      </c>
      <c r="I389">
        <v>1</v>
      </c>
      <c r="J389">
        <v>1260</v>
      </c>
      <c r="K389">
        <v>3069</v>
      </c>
      <c r="L389">
        <v>1.5</v>
      </c>
      <c r="M389">
        <v>810</v>
      </c>
      <c r="N389">
        <v>1459</v>
      </c>
      <c r="O389">
        <v>1.5</v>
      </c>
      <c r="P389">
        <v>173</v>
      </c>
      <c r="Q389">
        <v>478</v>
      </c>
      <c r="R389">
        <v>1.5</v>
      </c>
      <c r="S389">
        <v>4000000</v>
      </c>
      <c r="T389" t="s">
        <v>747</v>
      </c>
      <c r="U389" t="s">
        <v>308</v>
      </c>
      <c r="V389" t="s">
        <v>2152</v>
      </c>
      <c r="W389">
        <v>1387.5</v>
      </c>
      <c r="X389" t="b">
        <v>0</v>
      </c>
    </row>
    <row r="390" spans="1:24" x14ac:dyDescent="0.25">
      <c r="A390">
        <v>389</v>
      </c>
      <c r="B390" t="s">
        <v>2188</v>
      </c>
      <c r="C390">
        <v>7</v>
      </c>
      <c r="D390">
        <v>30</v>
      </c>
      <c r="E390">
        <v>99</v>
      </c>
      <c r="F390">
        <v>0</v>
      </c>
      <c r="G390">
        <v>4</v>
      </c>
      <c r="H390">
        <v>5</v>
      </c>
      <c r="I390">
        <v>7</v>
      </c>
      <c r="J390">
        <v>1260</v>
      </c>
      <c r="K390">
        <v>3069</v>
      </c>
      <c r="L390">
        <v>1.5</v>
      </c>
      <c r="M390">
        <v>810</v>
      </c>
      <c r="N390">
        <v>1459</v>
      </c>
      <c r="O390">
        <v>1.5</v>
      </c>
      <c r="P390">
        <v>173</v>
      </c>
      <c r="Q390">
        <v>478</v>
      </c>
      <c r="R390">
        <v>1.5</v>
      </c>
      <c r="S390">
        <v>4000000</v>
      </c>
      <c r="T390" t="s">
        <v>748</v>
      </c>
      <c r="U390" t="s">
        <v>308</v>
      </c>
      <c r="V390" t="s">
        <v>2152</v>
      </c>
      <c r="W390">
        <v>1387.5</v>
      </c>
      <c r="X390" t="b">
        <v>0</v>
      </c>
    </row>
    <row r="391" spans="1:24" x14ac:dyDescent="0.25">
      <c r="A391">
        <v>390</v>
      </c>
      <c r="B391" t="s">
        <v>2189</v>
      </c>
      <c r="C391">
        <v>7</v>
      </c>
      <c r="D391">
        <v>30</v>
      </c>
      <c r="E391">
        <v>99</v>
      </c>
      <c r="F391">
        <v>1</v>
      </c>
      <c r="G391">
        <v>3</v>
      </c>
      <c r="H391">
        <v>5</v>
      </c>
      <c r="I391">
        <v>2</v>
      </c>
      <c r="J391">
        <v>1280</v>
      </c>
      <c r="K391">
        <v>3102</v>
      </c>
      <c r="L391">
        <v>1.5</v>
      </c>
      <c r="M391">
        <v>805</v>
      </c>
      <c r="N391">
        <v>1451</v>
      </c>
      <c r="O391">
        <v>1.5</v>
      </c>
      <c r="P391">
        <v>165</v>
      </c>
      <c r="Q391">
        <v>467</v>
      </c>
      <c r="R391">
        <v>1.5</v>
      </c>
      <c r="S391">
        <v>4000000</v>
      </c>
      <c r="T391" t="s">
        <v>749</v>
      </c>
      <c r="U391" t="s">
        <v>313</v>
      </c>
      <c r="V391" t="s">
        <v>2153</v>
      </c>
      <c r="W391">
        <v>1387.5</v>
      </c>
      <c r="X391" t="b">
        <v>0</v>
      </c>
    </row>
    <row r="392" spans="1:24" x14ac:dyDescent="0.25">
      <c r="A392">
        <v>391</v>
      </c>
      <c r="B392" t="s">
        <v>2190</v>
      </c>
      <c r="C392">
        <v>7</v>
      </c>
      <c r="D392">
        <v>30</v>
      </c>
      <c r="E392">
        <v>99</v>
      </c>
      <c r="F392">
        <v>1</v>
      </c>
      <c r="G392">
        <v>4</v>
      </c>
      <c r="H392">
        <v>5</v>
      </c>
      <c r="I392">
        <v>7</v>
      </c>
      <c r="J392">
        <v>1280</v>
      </c>
      <c r="K392">
        <v>3102</v>
      </c>
      <c r="L392">
        <v>1.5</v>
      </c>
      <c r="M392">
        <v>805</v>
      </c>
      <c r="N392">
        <v>1451</v>
      </c>
      <c r="O392">
        <v>1.5</v>
      </c>
      <c r="P392">
        <v>165</v>
      </c>
      <c r="Q392">
        <v>467</v>
      </c>
      <c r="R392">
        <v>1.5</v>
      </c>
      <c r="S392">
        <v>4000000</v>
      </c>
      <c r="T392" t="s">
        <v>750</v>
      </c>
      <c r="U392" t="s">
        <v>313</v>
      </c>
      <c r="V392" t="s">
        <v>2153</v>
      </c>
      <c r="W392">
        <v>1387.5</v>
      </c>
      <c r="X392" t="b">
        <v>0</v>
      </c>
    </row>
    <row r="393" spans="1:24" x14ac:dyDescent="0.25">
      <c r="A393">
        <v>392</v>
      </c>
      <c r="B393" t="s">
        <v>2191</v>
      </c>
      <c r="C393">
        <v>7</v>
      </c>
      <c r="D393">
        <v>30</v>
      </c>
      <c r="E393">
        <v>99</v>
      </c>
      <c r="F393">
        <v>2</v>
      </c>
      <c r="G393">
        <v>3</v>
      </c>
      <c r="H393">
        <v>5</v>
      </c>
      <c r="I393">
        <v>3</v>
      </c>
      <c r="J393">
        <v>1110</v>
      </c>
      <c r="K393">
        <v>2574</v>
      </c>
      <c r="L393">
        <v>1.5</v>
      </c>
      <c r="M393">
        <v>675</v>
      </c>
      <c r="N393">
        <v>1161</v>
      </c>
      <c r="O393">
        <v>1.5</v>
      </c>
      <c r="P393">
        <v>285</v>
      </c>
      <c r="Q393">
        <v>741</v>
      </c>
      <c r="R393">
        <v>1.5</v>
      </c>
      <c r="S393">
        <v>4000000</v>
      </c>
      <c r="T393" t="s">
        <v>751</v>
      </c>
      <c r="U393" t="s">
        <v>316</v>
      </c>
      <c r="V393" t="s">
        <v>2154</v>
      </c>
      <c r="W393">
        <v>1387.5</v>
      </c>
      <c r="X393" t="b">
        <v>0</v>
      </c>
    </row>
    <row r="394" spans="1:24" x14ac:dyDescent="0.25">
      <c r="A394">
        <v>393</v>
      </c>
      <c r="B394" t="s">
        <v>2192</v>
      </c>
      <c r="C394">
        <v>7</v>
      </c>
      <c r="D394">
        <v>30</v>
      </c>
      <c r="E394">
        <v>99</v>
      </c>
      <c r="F394">
        <v>2</v>
      </c>
      <c r="G394">
        <v>4</v>
      </c>
      <c r="H394">
        <v>5</v>
      </c>
      <c r="I394">
        <v>7</v>
      </c>
      <c r="J394">
        <v>1110</v>
      </c>
      <c r="K394">
        <v>2574</v>
      </c>
      <c r="L394">
        <v>1.5</v>
      </c>
      <c r="M394">
        <v>675</v>
      </c>
      <c r="N394">
        <v>1161</v>
      </c>
      <c r="O394">
        <v>1.5</v>
      </c>
      <c r="P394">
        <v>285</v>
      </c>
      <c r="Q394">
        <v>741</v>
      </c>
      <c r="R394">
        <v>1.5</v>
      </c>
      <c r="S394">
        <v>4000000</v>
      </c>
      <c r="T394" t="s">
        <v>752</v>
      </c>
      <c r="U394" t="s">
        <v>316</v>
      </c>
      <c r="V394" t="s">
        <v>2154</v>
      </c>
      <c r="W394">
        <v>1387.5</v>
      </c>
      <c r="X394" t="b">
        <v>0</v>
      </c>
    </row>
    <row r="395" spans="1:24" x14ac:dyDescent="0.25">
      <c r="A395">
        <v>394</v>
      </c>
      <c r="B395" t="s">
        <v>2193</v>
      </c>
      <c r="C395">
        <v>7</v>
      </c>
      <c r="D395">
        <v>30</v>
      </c>
      <c r="E395">
        <v>99</v>
      </c>
      <c r="F395">
        <v>3</v>
      </c>
      <c r="G395">
        <v>3</v>
      </c>
      <c r="H395">
        <v>5</v>
      </c>
      <c r="I395">
        <v>3</v>
      </c>
      <c r="J395">
        <v>1050</v>
      </c>
      <c r="K395">
        <v>2475</v>
      </c>
      <c r="L395">
        <v>1.5</v>
      </c>
      <c r="M395">
        <v>692</v>
      </c>
      <c r="N395">
        <v>1286</v>
      </c>
      <c r="O395">
        <v>1.5</v>
      </c>
      <c r="P395">
        <v>308</v>
      </c>
      <c r="Q395">
        <v>685</v>
      </c>
      <c r="R395">
        <v>1.5</v>
      </c>
      <c r="S395">
        <v>4000000</v>
      </c>
      <c r="T395" t="s">
        <v>753</v>
      </c>
      <c r="U395" t="s">
        <v>322</v>
      </c>
      <c r="V395" t="s">
        <v>2155</v>
      </c>
      <c r="W395">
        <v>1387.5</v>
      </c>
      <c r="X395" t="b">
        <v>0</v>
      </c>
    </row>
    <row r="396" spans="1:24" x14ac:dyDescent="0.25">
      <c r="A396">
        <v>395</v>
      </c>
      <c r="B396" t="s">
        <v>2194</v>
      </c>
      <c r="C396">
        <v>7</v>
      </c>
      <c r="D396">
        <v>30</v>
      </c>
      <c r="E396">
        <v>99</v>
      </c>
      <c r="F396">
        <v>3</v>
      </c>
      <c r="G396">
        <v>4</v>
      </c>
      <c r="H396">
        <v>5</v>
      </c>
      <c r="I396">
        <v>7</v>
      </c>
      <c r="J396">
        <v>1050</v>
      </c>
      <c r="K396">
        <v>2475</v>
      </c>
      <c r="L396">
        <v>1.5</v>
      </c>
      <c r="M396">
        <v>692</v>
      </c>
      <c r="N396">
        <v>1186</v>
      </c>
      <c r="O396">
        <v>1.5</v>
      </c>
      <c r="P396">
        <v>308</v>
      </c>
      <c r="Q396">
        <v>685</v>
      </c>
      <c r="R396">
        <v>1.5</v>
      </c>
      <c r="S396">
        <v>4000000</v>
      </c>
      <c r="T396" t="s">
        <v>754</v>
      </c>
      <c r="U396" t="s">
        <v>322</v>
      </c>
      <c r="V396" t="s">
        <v>2155</v>
      </c>
      <c r="W396">
        <v>1387.5</v>
      </c>
      <c r="X396" t="b">
        <v>0</v>
      </c>
    </row>
    <row r="397" spans="1:24" x14ac:dyDescent="0.25">
      <c r="A397">
        <v>396</v>
      </c>
      <c r="B397" t="s">
        <v>755</v>
      </c>
      <c r="C397">
        <v>7</v>
      </c>
      <c r="D397">
        <v>30</v>
      </c>
      <c r="E397">
        <v>99</v>
      </c>
      <c r="F397">
        <v>4</v>
      </c>
      <c r="G397">
        <v>3</v>
      </c>
      <c r="H397">
        <v>5</v>
      </c>
      <c r="I397">
        <v>7</v>
      </c>
      <c r="J397">
        <v>1140</v>
      </c>
      <c r="K397">
        <v>2871</v>
      </c>
      <c r="L397">
        <v>1.5</v>
      </c>
      <c r="M397">
        <v>777</v>
      </c>
      <c r="N397">
        <v>1510</v>
      </c>
      <c r="O397">
        <v>1.5</v>
      </c>
      <c r="P397">
        <v>158</v>
      </c>
      <c r="Q397">
        <v>456</v>
      </c>
      <c r="R397">
        <v>1.5</v>
      </c>
      <c r="S397">
        <v>4000000</v>
      </c>
      <c r="T397" t="s">
        <v>756</v>
      </c>
      <c r="U397" t="s">
        <v>327</v>
      </c>
      <c r="V397" t="s">
        <v>2156</v>
      </c>
      <c r="W397">
        <v>1387.5</v>
      </c>
      <c r="X397" t="b">
        <v>0</v>
      </c>
    </row>
    <row r="398" spans="1:24" x14ac:dyDescent="0.25">
      <c r="A398">
        <v>397</v>
      </c>
      <c r="B398" t="s">
        <v>757</v>
      </c>
      <c r="C398">
        <v>7</v>
      </c>
      <c r="D398">
        <v>30</v>
      </c>
      <c r="E398">
        <v>99</v>
      </c>
      <c r="F398">
        <v>4</v>
      </c>
      <c r="G398">
        <v>4</v>
      </c>
      <c r="H398">
        <v>5</v>
      </c>
      <c r="I398">
        <v>7</v>
      </c>
      <c r="J398">
        <v>1140</v>
      </c>
      <c r="K398">
        <v>2871</v>
      </c>
      <c r="L398">
        <v>1.5</v>
      </c>
      <c r="M398">
        <v>777</v>
      </c>
      <c r="N398">
        <v>1610</v>
      </c>
      <c r="O398">
        <v>1.5</v>
      </c>
      <c r="P398">
        <v>158</v>
      </c>
      <c r="Q398">
        <v>456</v>
      </c>
      <c r="R398">
        <v>1.5</v>
      </c>
      <c r="S398">
        <v>4000000</v>
      </c>
      <c r="T398" t="s">
        <v>758</v>
      </c>
      <c r="U398" t="s">
        <v>327</v>
      </c>
      <c r="V398" t="s">
        <v>2156</v>
      </c>
      <c r="W398">
        <v>1387.5</v>
      </c>
      <c r="X398" t="b">
        <v>0</v>
      </c>
    </row>
    <row r="399" spans="1:24" x14ac:dyDescent="0.25">
      <c r="A399">
        <v>398</v>
      </c>
      <c r="B399" t="s">
        <v>759</v>
      </c>
      <c r="C399">
        <v>4</v>
      </c>
      <c r="D399">
        <v>7</v>
      </c>
      <c r="E399">
        <v>35</v>
      </c>
      <c r="F399">
        <v>0</v>
      </c>
      <c r="G399" t="s">
        <v>112</v>
      </c>
      <c r="H399">
        <v>6</v>
      </c>
      <c r="I399" t="s">
        <v>112</v>
      </c>
      <c r="J399">
        <v>98</v>
      </c>
      <c r="K399">
        <v>294</v>
      </c>
      <c r="L399">
        <v>0.7</v>
      </c>
      <c r="M399">
        <v>178</v>
      </c>
      <c r="N399">
        <v>534</v>
      </c>
      <c r="O399">
        <v>0.7</v>
      </c>
      <c r="P399">
        <v>178</v>
      </c>
      <c r="Q399">
        <v>374</v>
      </c>
      <c r="R399">
        <v>0.7</v>
      </c>
      <c r="S399">
        <v>1500000</v>
      </c>
      <c r="T399" t="s">
        <v>112</v>
      </c>
      <c r="U399" t="s">
        <v>760</v>
      </c>
      <c r="W399">
        <v>412.5</v>
      </c>
      <c r="X399" t="b">
        <v>0</v>
      </c>
    </row>
    <row r="400" spans="1:24" x14ac:dyDescent="0.25">
      <c r="A400">
        <v>399</v>
      </c>
      <c r="B400" t="s">
        <v>761</v>
      </c>
      <c r="C400">
        <v>5</v>
      </c>
      <c r="D400">
        <v>18</v>
      </c>
      <c r="E400">
        <v>99</v>
      </c>
      <c r="F400">
        <v>0</v>
      </c>
      <c r="G400" t="s">
        <v>112</v>
      </c>
      <c r="H400">
        <v>6</v>
      </c>
      <c r="I400" t="s">
        <v>112</v>
      </c>
      <c r="J400">
        <v>235</v>
      </c>
      <c r="K400">
        <v>588</v>
      </c>
      <c r="L400">
        <v>0.7</v>
      </c>
      <c r="M400">
        <v>481</v>
      </c>
      <c r="N400">
        <v>1443</v>
      </c>
      <c r="O400">
        <v>0.7</v>
      </c>
      <c r="P400">
        <v>337</v>
      </c>
      <c r="Q400">
        <v>506</v>
      </c>
      <c r="R400">
        <v>0.7</v>
      </c>
      <c r="S400">
        <v>2500000</v>
      </c>
      <c r="T400" t="s">
        <v>112</v>
      </c>
      <c r="U400" t="s">
        <v>760</v>
      </c>
      <c r="V400" t="s">
        <v>762</v>
      </c>
      <c r="W400">
        <v>862.5</v>
      </c>
      <c r="X400" t="b">
        <v>0</v>
      </c>
    </row>
    <row r="401" spans="1:24" x14ac:dyDescent="0.25">
      <c r="A401">
        <v>400</v>
      </c>
      <c r="B401" t="s">
        <v>763</v>
      </c>
      <c r="C401">
        <v>4</v>
      </c>
      <c r="D401">
        <v>7</v>
      </c>
      <c r="E401">
        <v>35</v>
      </c>
      <c r="F401">
        <v>1</v>
      </c>
      <c r="G401" t="s">
        <v>112</v>
      </c>
      <c r="H401">
        <v>6</v>
      </c>
      <c r="I401" t="s">
        <v>112</v>
      </c>
      <c r="J401">
        <v>216</v>
      </c>
      <c r="K401">
        <v>864</v>
      </c>
      <c r="L401">
        <v>0.7</v>
      </c>
      <c r="M401">
        <v>201</v>
      </c>
      <c r="N401">
        <v>603</v>
      </c>
      <c r="O401">
        <v>0.7</v>
      </c>
      <c r="P401">
        <v>0</v>
      </c>
      <c r="Q401">
        <v>0</v>
      </c>
      <c r="R401">
        <v>0.7</v>
      </c>
      <c r="S401">
        <v>1500000</v>
      </c>
      <c r="T401" t="s">
        <v>112</v>
      </c>
      <c r="U401" t="s">
        <v>764</v>
      </c>
      <c r="W401">
        <v>412.5</v>
      </c>
      <c r="X401" t="b">
        <v>0</v>
      </c>
    </row>
    <row r="402" spans="1:24" x14ac:dyDescent="0.25">
      <c r="A402">
        <v>401</v>
      </c>
      <c r="B402" t="s">
        <v>765</v>
      </c>
      <c r="C402">
        <v>5</v>
      </c>
      <c r="D402">
        <v>18</v>
      </c>
      <c r="E402">
        <v>99</v>
      </c>
      <c r="F402">
        <v>1</v>
      </c>
      <c r="G402" t="s">
        <v>112</v>
      </c>
      <c r="H402">
        <v>6</v>
      </c>
      <c r="I402">
        <v>7</v>
      </c>
      <c r="J402">
        <v>691</v>
      </c>
      <c r="K402">
        <v>2211</v>
      </c>
      <c r="L402">
        <v>0.7</v>
      </c>
      <c r="M402">
        <v>543</v>
      </c>
      <c r="N402">
        <v>1629</v>
      </c>
      <c r="O402">
        <v>0.7</v>
      </c>
      <c r="P402">
        <v>0</v>
      </c>
      <c r="Q402">
        <v>-100</v>
      </c>
      <c r="R402">
        <v>0.7</v>
      </c>
      <c r="S402">
        <v>2500000</v>
      </c>
      <c r="T402" t="s">
        <v>112</v>
      </c>
      <c r="U402" t="s">
        <v>764</v>
      </c>
      <c r="V402" t="s">
        <v>766</v>
      </c>
      <c r="W402">
        <v>862.5</v>
      </c>
      <c r="X402" t="b">
        <v>0</v>
      </c>
    </row>
    <row r="403" spans="1:24" x14ac:dyDescent="0.25">
      <c r="A403">
        <v>402</v>
      </c>
      <c r="B403" t="s">
        <v>767</v>
      </c>
      <c r="C403">
        <v>4</v>
      </c>
      <c r="D403">
        <v>7</v>
      </c>
      <c r="E403">
        <v>35</v>
      </c>
      <c r="F403">
        <v>2</v>
      </c>
      <c r="G403" t="s">
        <v>112</v>
      </c>
      <c r="H403">
        <v>6</v>
      </c>
      <c r="I403" t="s">
        <v>112</v>
      </c>
      <c r="J403">
        <v>81</v>
      </c>
      <c r="K403">
        <v>243</v>
      </c>
      <c r="L403">
        <v>0.7</v>
      </c>
      <c r="M403">
        <v>190</v>
      </c>
      <c r="N403">
        <v>570</v>
      </c>
      <c r="O403">
        <v>0.7</v>
      </c>
      <c r="P403">
        <v>164</v>
      </c>
      <c r="Q403">
        <v>344</v>
      </c>
      <c r="R403">
        <v>0.7</v>
      </c>
      <c r="S403">
        <v>1500000</v>
      </c>
      <c r="T403" t="s">
        <v>112</v>
      </c>
      <c r="U403" t="s">
        <v>768</v>
      </c>
      <c r="W403">
        <v>412.5</v>
      </c>
      <c r="X403" t="b">
        <v>0</v>
      </c>
    </row>
    <row r="404" spans="1:24" x14ac:dyDescent="0.25">
      <c r="A404">
        <v>403</v>
      </c>
      <c r="B404" t="s">
        <v>769</v>
      </c>
      <c r="C404">
        <v>5</v>
      </c>
      <c r="D404">
        <v>18</v>
      </c>
      <c r="E404">
        <v>99</v>
      </c>
      <c r="F404">
        <v>2</v>
      </c>
      <c r="G404" t="s">
        <v>112</v>
      </c>
      <c r="H404">
        <v>6</v>
      </c>
      <c r="I404" t="s">
        <v>112</v>
      </c>
      <c r="J404">
        <v>194</v>
      </c>
      <c r="K404">
        <v>635</v>
      </c>
      <c r="L404">
        <v>0.7</v>
      </c>
      <c r="M404">
        <v>513</v>
      </c>
      <c r="N404">
        <v>1539</v>
      </c>
      <c r="O404">
        <v>0.7</v>
      </c>
      <c r="P404">
        <v>310</v>
      </c>
      <c r="Q404">
        <v>465</v>
      </c>
      <c r="R404">
        <v>0.7</v>
      </c>
      <c r="S404">
        <v>2500000</v>
      </c>
      <c r="T404" t="s">
        <v>112</v>
      </c>
      <c r="U404" t="s">
        <v>768</v>
      </c>
      <c r="V404" t="s">
        <v>770</v>
      </c>
      <c r="W404">
        <v>862.5</v>
      </c>
      <c r="X404" t="b">
        <v>0</v>
      </c>
    </row>
    <row r="405" spans="1:24" x14ac:dyDescent="0.25">
      <c r="A405">
        <v>404</v>
      </c>
      <c r="B405" t="s">
        <v>771</v>
      </c>
      <c r="C405">
        <v>4</v>
      </c>
      <c r="D405">
        <v>7</v>
      </c>
      <c r="E405">
        <v>35</v>
      </c>
      <c r="F405">
        <v>3</v>
      </c>
      <c r="G405" t="s">
        <v>112</v>
      </c>
      <c r="H405">
        <v>6</v>
      </c>
      <c r="I405" t="s">
        <v>112</v>
      </c>
      <c r="J405">
        <v>99</v>
      </c>
      <c r="K405">
        <v>297</v>
      </c>
      <c r="L405">
        <v>0.7</v>
      </c>
      <c r="M405">
        <v>175</v>
      </c>
      <c r="N405">
        <v>525</v>
      </c>
      <c r="O405">
        <v>0.7</v>
      </c>
      <c r="P405">
        <v>176</v>
      </c>
      <c r="Q405">
        <v>370</v>
      </c>
      <c r="R405">
        <v>0.7</v>
      </c>
      <c r="S405">
        <v>1500000</v>
      </c>
      <c r="T405" t="s">
        <v>112</v>
      </c>
      <c r="U405" t="s">
        <v>772</v>
      </c>
      <c r="W405">
        <v>412.5</v>
      </c>
      <c r="X405" t="b">
        <v>0</v>
      </c>
    </row>
    <row r="406" spans="1:24" x14ac:dyDescent="0.25">
      <c r="A406">
        <v>405</v>
      </c>
      <c r="B406" t="s">
        <v>773</v>
      </c>
      <c r="C406">
        <v>5</v>
      </c>
      <c r="D406">
        <v>18</v>
      </c>
      <c r="E406">
        <v>99</v>
      </c>
      <c r="F406">
        <v>3</v>
      </c>
      <c r="G406" t="s">
        <v>112</v>
      </c>
      <c r="H406">
        <v>6</v>
      </c>
      <c r="I406" t="s">
        <v>112</v>
      </c>
      <c r="J406">
        <v>238</v>
      </c>
      <c r="K406">
        <v>595</v>
      </c>
      <c r="L406">
        <v>0.7</v>
      </c>
      <c r="M406">
        <v>473</v>
      </c>
      <c r="N406">
        <v>1419</v>
      </c>
      <c r="O406">
        <v>0.7</v>
      </c>
      <c r="P406">
        <v>333</v>
      </c>
      <c r="Q406">
        <v>500</v>
      </c>
      <c r="R406">
        <v>0.7</v>
      </c>
      <c r="S406">
        <v>2500000</v>
      </c>
      <c r="T406" t="s">
        <v>112</v>
      </c>
      <c r="U406" t="s">
        <v>772</v>
      </c>
      <c r="V406" t="s">
        <v>774</v>
      </c>
      <c r="W406">
        <v>862.5</v>
      </c>
      <c r="X406" t="b">
        <v>0</v>
      </c>
    </row>
    <row r="407" spans="1:24" x14ac:dyDescent="0.25">
      <c r="A407">
        <v>406</v>
      </c>
      <c r="B407" t="s">
        <v>775</v>
      </c>
      <c r="C407">
        <v>4</v>
      </c>
      <c r="D407">
        <v>7</v>
      </c>
      <c r="E407">
        <v>35</v>
      </c>
      <c r="F407">
        <v>4</v>
      </c>
      <c r="G407" t="s">
        <v>112</v>
      </c>
      <c r="H407">
        <v>6</v>
      </c>
      <c r="I407" t="s">
        <v>112</v>
      </c>
      <c r="J407">
        <v>191</v>
      </c>
      <c r="K407">
        <v>764</v>
      </c>
      <c r="L407">
        <v>0.7</v>
      </c>
      <c r="M407">
        <v>205</v>
      </c>
      <c r="N407">
        <v>615</v>
      </c>
      <c r="O407">
        <v>0.7</v>
      </c>
      <c r="P407">
        <v>0</v>
      </c>
      <c r="Q407">
        <v>0</v>
      </c>
      <c r="R407">
        <v>0.7</v>
      </c>
      <c r="S407">
        <v>1500000</v>
      </c>
      <c r="T407" t="s">
        <v>112</v>
      </c>
      <c r="U407" t="s">
        <v>776</v>
      </c>
      <c r="W407">
        <v>412.5</v>
      </c>
      <c r="X407" t="b">
        <v>0</v>
      </c>
    </row>
    <row r="408" spans="1:24" x14ac:dyDescent="0.25">
      <c r="A408">
        <v>407</v>
      </c>
      <c r="B408" t="s">
        <v>777</v>
      </c>
      <c r="C408">
        <v>5</v>
      </c>
      <c r="D408">
        <v>18</v>
      </c>
      <c r="E408">
        <v>99</v>
      </c>
      <c r="F408">
        <v>4</v>
      </c>
      <c r="G408" t="s">
        <v>112</v>
      </c>
      <c r="H408">
        <v>6</v>
      </c>
      <c r="I408">
        <v>7</v>
      </c>
      <c r="J408">
        <v>611</v>
      </c>
      <c r="K408">
        <v>1955</v>
      </c>
      <c r="L408">
        <v>0.7</v>
      </c>
      <c r="M408">
        <v>554</v>
      </c>
      <c r="N408">
        <v>1662</v>
      </c>
      <c r="O408">
        <v>0.7</v>
      </c>
      <c r="P408">
        <v>0</v>
      </c>
      <c r="Q408">
        <v>-100</v>
      </c>
      <c r="R408">
        <v>0.7</v>
      </c>
      <c r="S408">
        <v>2500000</v>
      </c>
      <c r="T408" t="s">
        <v>112</v>
      </c>
      <c r="U408" t="s">
        <v>776</v>
      </c>
      <c r="V408" t="s">
        <v>778</v>
      </c>
      <c r="W408">
        <v>862.5</v>
      </c>
      <c r="X408" t="b">
        <v>0</v>
      </c>
    </row>
    <row r="409" spans="1:24" x14ac:dyDescent="0.25">
      <c r="A409">
        <v>408</v>
      </c>
      <c r="B409" t="s">
        <v>779</v>
      </c>
      <c r="C409">
        <v>7</v>
      </c>
      <c r="D409">
        <v>35</v>
      </c>
      <c r="E409">
        <v>99</v>
      </c>
      <c r="F409">
        <v>0</v>
      </c>
      <c r="G409">
        <v>0</v>
      </c>
      <c r="H409">
        <v>4</v>
      </c>
      <c r="I409" t="s">
        <v>112</v>
      </c>
      <c r="J409">
        <v>495</v>
      </c>
      <c r="K409">
        <v>3018</v>
      </c>
      <c r="L409">
        <v>1.5</v>
      </c>
      <c r="M409">
        <v>330</v>
      </c>
      <c r="N409">
        <v>1508</v>
      </c>
      <c r="O409">
        <v>1.5</v>
      </c>
      <c r="P409">
        <v>52</v>
      </c>
      <c r="Q409">
        <v>142</v>
      </c>
      <c r="R409">
        <v>1.5</v>
      </c>
      <c r="S409">
        <v>4000000</v>
      </c>
      <c r="T409" t="s">
        <v>305</v>
      </c>
      <c r="U409" t="s">
        <v>780</v>
      </c>
      <c r="V409" t="s">
        <v>350</v>
      </c>
      <c r="W409">
        <v>1575</v>
      </c>
      <c r="X409" t="b">
        <v>0</v>
      </c>
    </row>
    <row r="410" spans="1:24" x14ac:dyDescent="0.25">
      <c r="A410">
        <v>409</v>
      </c>
      <c r="B410" t="s">
        <v>781</v>
      </c>
      <c r="C410">
        <v>7</v>
      </c>
      <c r="D410">
        <v>35</v>
      </c>
      <c r="E410">
        <v>99</v>
      </c>
      <c r="F410">
        <v>1</v>
      </c>
      <c r="G410">
        <v>1</v>
      </c>
      <c r="H410">
        <v>4</v>
      </c>
      <c r="I410" t="s">
        <v>112</v>
      </c>
      <c r="J410">
        <v>510</v>
      </c>
      <c r="K410">
        <v>3165</v>
      </c>
      <c r="L410">
        <v>1.5</v>
      </c>
      <c r="M410">
        <v>322</v>
      </c>
      <c r="N410">
        <v>1432</v>
      </c>
      <c r="O410">
        <v>1.5</v>
      </c>
      <c r="P410">
        <v>53</v>
      </c>
      <c r="Q410">
        <v>153</v>
      </c>
      <c r="R410">
        <v>1.5</v>
      </c>
      <c r="S410">
        <v>4000000</v>
      </c>
      <c r="T410" t="s">
        <v>310</v>
      </c>
      <c r="U410" t="s">
        <v>782</v>
      </c>
      <c r="V410" t="s">
        <v>352</v>
      </c>
      <c r="W410">
        <v>1575</v>
      </c>
      <c r="X410" t="b">
        <v>0</v>
      </c>
    </row>
    <row r="411" spans="1:24" x14ac:dyDescent="0.25">
      <c r="A411">
        <v>410</v>
      </c>
      <c r="B411" t="s">
        <v>783</v>
      </c>
      <c r="C411">
        <v>7</v>
      </c>
      <c r="D411">
        <v>35</v>
      </c>
      <c r="E411">
        <v>99</v>
      </c>
      <c r="F411">
        <v>2</v>
      </c>
      <c r="G411">
        <v>2</v>
      </c>
      <c r="H411">
        <v>4</v>
      </c>
      <c r="I411" t="s">
        <v>112</v>
      </c>
      <c r="J411">
        <v>518</v>
      </c>
      <c r="K411">
        <v>3197</v>
      </c>
      <c r="L411">
        <v>1.5</v>
      </c>
      <c r="M411">
        <v>319</v>
      </c>
      <c r="N411">
        <v>1407</v>
      </c>
      <c r="O411">
        <v>1.5</v>
      </c>
      <c r="P411">
        <v>55</v>
      </c>
      <c r="Q411">
        <v>175</v>
      </c>
      <c r="R411">
        <v>1.5</v>
      </c>
      <c r="S411">
        <v>4000000</v>
      </c>
      <c r="T411" t="s">
        <v>315</v>
      </c>
      <c r="U411" t="s">
        <v>784</v>
      </c>
      <c r="V411" t="s">
        <v>354</v>
      </c>
      <c r="W411">
        <v>1575</v>
      </c>
      <c r="X411" t="b">
        <v>0</v>
      </c>
    </row>
    <row r="412" spans="1:24" x14ac:dyDescent="0.25">
      <c r="A412">
        <v>411</v>
      </c>
      <c r="B412" t="s">
        <v>785</v>
      </c>
      <c r="C412">
        <v>7</v>
      </c>
      <c r="D412">
        <v>35</v>
      </c>
      <c r="E412">
        <v>99</v>
      </c>
      <c r="F412">
        <v>3</v>
      </c>
      <c r="G412">
        <v>3</v>
      </c>
      <c r="H412">
        <v>4</v>
      </c>
      <c r="I412" t="s">
        <v>112</v>
      </c>
      <c r="J412">
        <v>503</v>
      </c>
      <c r="K412">
        <v>3050</v>
      </c>
      <c r="L412">
        <v>1.5</v>
      </c>
      <c r="M412">
        <v>325</v>
      </c>
      <c r="N412">
        <v>1456</v>
      </c>
      <c r="O412">
        <v>1.5</v>
      </c>
      <c r="P412">
        <v>54</v>
      </c>
      <c r="Q412">
        <v>164</v>
      </c>
      <c r="R412">
        <v>1.5</v>
      </c>
      <c r="S412">
        <v>4000000</v>
      </c>
      <c r="T412" t="s">
        <v>319</v>
      </c>
      <c r="U412" t="s">
        <v>786</v>
      </c>
      <c r="V412" t="s">
        <v>356</v>
      </c>
      <c r="W412">
        <v>1575</v>
      </c>
      <c r="X412" t="b">
        <v>0</v>
      </c>
    </row>
    <row r="413" spans="1:24" x14ac:dyDescent="0.25">
      <c r="A413">
        <v>412</v>
      </c>
      <c r="B413" t="s">
        <v>787</v>
      </c>
      <c r="C413">
        <v>7</v>
      </c>
      <c r="D413">
        <v>35</v>
      </c>
      <c r="E413">
        <v>99</v>
      </c>
      <c r="F413">
        <v>4</v>
      </c>
      <c r="G413">
        <v>4</v>
      </c>
      <c r="H413">
        <v>4</v>
      </c>
      <c r="I413" t="s">
        <v>112</v>
      </c>
      <c r="J413">
        <v>488</v>
      </c>
      <c r="K413">
        <v>3002</v>
      </c>
      <c r="L413">
        <v>1.5</v>
      </c>
      <c r="M413">
        <v>333</v>
      </c>
      <c r="N413">
        <v>1422</v>
      </c>
      <c r="O413">
        <v>1.5</v>
      </c>
      <c r="P413">
        <v>51</v>
      </c>
      <c r="Q413">
        <v>131</v>
      </c>
      <c r="R413">
        <v>1.5</v>
      </c>
      <c r="S413">
        <v>4000000</v>
      </c>
      <c r="T413" t="s">
        <v>324</v>
      </c>
      <c r="U413" t="s">
        <v>788</v>
      </c>
      <c r="V413" t="s">
        <v>358</v>
      </c>
      <c r="W413">
        <v>1575</v>
      </c>
      <c r="X413" t="b">
        <v>0</v>
      </c>
    </row>
    <row r="414" spans="1:24" x14ac:dyDescent="0.25">
      <c r="A414">
        <v>413</v>
      </c>
      <c r="B414" t="s">
        <v>789</v>
      </c>
      <c r="C414">
        <v>6</v>
      </c>
      <c r="D414">
        <v>25</v>
      </c>
      <c r="E414">
        <v>99</v>
      </c>
      <c r="F414">
        <v>1</v>
      </c>
      <c r="G414" t="s">
        <v>112</v>
      </c>
      <c r="H414">
        <v>4</v>
      </c>
      <c r="I414" t="s">
        <v>112</v>
      </c>
      <c r="J414">
        <v>495</v>
      </c>
      <c r="K414">
        <v>3018</v>
      </c>
      <c r="L414">
        <v>1.5</v>
      </c>
      <c r="M414">
        <v>330</v>
      </c>
      <c r="N414">
        <v>1408</v>
      </c>
      <c r="O414">
        <v>1.5</v>
      </c>
      <c r="P414">
        <v>52</v>
      </c>
      <c r="Q414">
        <v>142</v>
      </c>
      <c r="R414">
        <v>1.5</v>
      </c>
      <c r="S414">
        <v>4000000</v>
      </c>
      <c r="T414" t="s">
        <v>310</v>
      </c>
      <c r="U414" t="s">
        <v>780</v>
      </c>
      <c r="V414" t="s">
        <v>352</v>
      </c>
      <c r="W414">
        <v>1162.5</v>
      </c>
      <c r="X414" t="b">
        <v>0</v>
      </c>
    </row>
    <row r="415" spans="1:24" x14ac:dyDescent="0.25">
      <c r="A415">
        <v>414</v>
      </c>
      <c r="B415" t="s">
        <v>790</v>
      </c>
      <c r="C415">
        <v>4</v>
      </c>
      <c r="D415">
        <v>6</v>
      </c>
      <c r="E415">
        <v>15</v>
      </c>
      <c r="F415">
        <v>0</v>
      </c>
      <c r="G415" t="s">
        <v>112</v>
      </c>
      <c r="H415">
        <v>3</v>
      </c>
      <c r="I415" t="s">
        <v>112</v>
      </c>
      <c r="J415">
        <v>92</v>
      </c>
      <c r="K415">
        <v>276</v>
      </c>
      <c r="L415">
        <v>0.7</v>
      </c>
      <c r="M415">
        <v>40</v>
      </c>
      <c r="N415">
        <v>100</v>
      </c>
      <c r="O415">
        <v>0.7</v>
      </c>
      <c r="P415">
        <v>79</v>
      </c>
      <c r="Q415">
        <v>166</v>
      </c>
      <c r="R415">
        <v>0.7</v>
      </c>
      <c r="S415">
        <v>1500000</v>
      </c>
      <c r="T415" t="s">
        <v>112</v>
      </c>
      <c r="U415" t="s">
        <v>791</v>
      </c>
      <c r="W415">
        <v>375</v>
      </c>
      <c r="X415" t="b">
        <v>0</v>
      </c>
    </row>
    <row r="416" spans="1:24" x14ac:dyDescent="0.25">
      <c r="A416">
        <v>415</v>
      </c>
      <c r="B416" t="s">
        <v>792</v>
      </c>
      <c r="C416">
        <v>5</v>
      </c>
      <c r="D416">
        <v>9</v>
      </c>
      <c r="E416">
        <v>50</v>
      </c>
      <c r="F416">
        <v>0</v>
      </c>
      <c r="G416" t="s">
        <v>112</v>
      </c>
      <c r="H416">
        <v>3</v>
      </c>
      <c r="I416" t="s">
        <v>112</v>
      </c>
      <c r="J416">
        <v>221</v>
      </c>
      <c r="K416">
        <v>729</v>
      </c>
      <c r="L416">
        <v>0.7</v>
      </c>
      <c r="M416">
        <v>90</v>
      </c>
      <c r="N416">
        <v>270</v>
      </c>
      <c r="O416">
        <v>0.7</v>
      </c>
      <c r="P416">
        <v>149</v>
      </c>
      <c r="Q416">
        <v>313</v>
      </c>
      <c r="R416">
        <v>0.7</v>
      </c>
      <c r="S416">
        <v>1500000</v>
      </c>
      <c r="T416" t="s">
        <v>793</v>
      </c>
      <c r="U416" t="s">
        <v>791</v>
      </c>
      <c r="W416">
        <v>525</v>
      </c>
      <c r="X416" t="b">
        <v>0</v>
      </c>
    </row>
    <row r="417" spans="1:24" x14ac:dyDescent="0.25">
      <c r="A417">
        <v>416</v>
      </c>
      <c r="B417" t="s">
        <v>794</v>
      </c>
      <c r="C417">
        <v>6</v>
      </c>
      <c r="D417">
        <v>15</v>
      </c>
      <c r="E417">
        <v>99</v>
      </c>
      <c r="F417">
        <v>0</v>
      </c>
      <c r="G417" t="s">
        <v>112</v>
      </c>
      <c r="H417">
        <v>3</v>
      </c>
      <c r="I417" t="s">
        <v>112</v>
      </c>
      <c r="J417">
        <v>583</v>
      </c>
      <c r="K417">
        <v>1924</v>
      </c>
      <c r="L417">
        <v>0.7</v>
      </c>
      <c r="M417">
        <v>243</v>
      </c>
      <c r="N417">
        <v>1029</v>
      </c>
      <c r="O417">
        <v>0.7</v>
      </c>
      <c r="P417">
        <v>282</v>
      </c>
      <c r="Q417">
        <v>592</v>
      </c>
      <c r="R417">
        <v>0.7</v>
      </c>
      <c r="S417">
        <v>3000000</v>
      </c>
      <c r="T417" t="s">
        <v>796</v>
      </c>
      <c r="U417" t="s">
        <v>791</v>
      </c>
      <c r="V417" t="s">
        <v>795</v>
      </c>
      <c r="W417">
        <v>787.5</v>
      </c>
      <c r="X417" t="b">
        <v>0</v>
      </c>
    </row>
    <row r="418" spans="1:24" x14ac:dyDescent="0.25">
      <c r="A418">
        <v>417</v>
      </c>
      <c r="B418" t="s">
        <v>797</v>
      </c>
      <c r="C418">
        <v>4</v>
      </c>
      <c r="D418">
        <v>6</v>
      </c>
      <c r="E418">
        <v>15</v>
      </c>
      <c r="F418">
        <v>1</v>
      </c>
      <c r="G418" t="s">
        <v>112</v>
      </c>
      <c r="H418">
        <v>3</v>
      </c>
      <c r="I418" t="s">
        <v>112</v>
      </c>
      <c r="J418">
        <v>94</v>
      </c>
      <c r="K418">
        <v>282</v>
      </c>
      <c r="L418">
        <v>0.7</v>
      </c>
      <c r="M418">
        <v>39</v>
      </c>
      <c r="N418">
        <v>98</v>
      </c>
      <c r="O418">
        <v>0.7</v>
      </c>
      <c r="P418">
        <v>77</v>
      </c>
      <c r="Q418">
        <v>162</v>
      </c>
      <c r="R418">
        <v>0.7</v>
      </c>
      <c r="S418">
        <v>1500000</v>
      </c>
      <c r="T418" t="s">
        <v>112</v>
      </c>
      <c r="U418" t="s">
        <v>798</v>
      </c>
      <c r="W418">
        <v>375</v>
      </c>
      <c r="X418" t="b">
        <v>0</v>
      </c>
    </row>
    <row r="419" spans="1:24" x14ac:dyDescent="0.25">
      <c r="A419">
        <v>418</v>
      </c>
      <c r="B419" t="s">
        <v>799</v>
      </c>
      <c r="C419">
        <v>5</v>
      </c>
      <c r="D419">
        <v>9</v>
      </c>
      <c r="E419">
        <v>50</v>
      </c>
      <c r="F419">
        <v>1</v>
      </c>
      <c r="G419" t="s">
        <v>112</v>
      </c>
      <c r="H419">
        <v>3</v>
      </c>
      <c r="I419" t="s">
        <v>112</v>
      </c>
      <c r="J419">
        <v>226</v>
      </c>
      <c r="K419">
        <v>746</v>
      </c>
      <c r="L419">
        <v>0.7</v>
      </c>
      <c r="M419">
        <v>88</v>
      </c>
      <c r="N419">
        <v>264</v>
      </c>
      <c r="O419">
        <v>0.7</v>
      </c>
      <c r="P419">
        <v>146</v>
      </c>
      <c r="Q419">
        <v>307</v>
      </c>
      <c r="R419">
        <v>0.7</v>
      </c>
      <c r="S419">
        <v>1500000</v>
      </c>
      <c r="T419" t="s">
        <v>793</v>
      </c>
      <c r="U419" t="s">
        <v>798</v>
      </c>
      <c r="W419">
        <v>525</v>
      </c>
      <c r="X419" t="b">
        <v>0</v>
      </c>
    </row>
    <row r="420" spans="1:24" x14ac:dyDescent="0.25">
      <c r="A420">
        <v>419</v>
      </c>
      <c r="B420" t="s">
        <v>800</v>
      </c>
      <c r="C420">
        <v>6</v>
      </c>
      <c r="D420">
        <v>15</v>
      </c>
      <c r="E420">
        <v>99</v>
      </c>
      <c r="F420">
        <v>1</v>
      </c>
      <c r="G420" t="s">
        <v>112</v>
      </c>
      <c r="H420">
        <v>3</v>
      </c>
      <c r="I420" t="s">
        <v>112</v>
      </c>
      <c r="J420">
        <v>597</v>
      </c>
      <c r="K420">
        <v>1970</v>
      </c>
      <c r="L420">
        <v>0.7</v>
      </c>
      <c r="M420">
        <v>238</v>
      </c>
      <c r="N420">
        <v>1014</v>
      </c>
      <c r="O420">
        <v>0.7</v>
      </c>
      <c r="P420">
        <v>276</v>
      </c>
      <c r="Q420">
        <v>580</v>
      </c>
      <c r="R420">
        <v>0.7</v>
      </c>
      <c r="S420">
        <v>3000000</v>
      </c>
      <c r="T420" t="s">
        <v>796</v>
      </c>
      <c r="U420" t="s">
        <v>798</v>
      </c>
      <c r="V420" t="s">
        <v>795</v>
      </c>
      <c r="W420">
        <v>787.5</v>
      </c>
      <c r="X420" t="b">
        <v>0</v>
      </c>
    </row>
    <row r="421" spans="1:24" x14ac:dyDescent="0.25">
      <c r="A421">
        <v>420</v>
      </c>
      <c r="B421" t="s">
        <v>801</v>
      </c>
      <c r="C421">
        <v>4</v>
      </c>
      <c r="D421">
        <v>6</v>
      </c>
      <c r="E421">
        <v>15</v>
      </c>
      <c r="F421">
        <v>2</v>
      </c>
      <c r="G421" t="s">
        <v>112</v>
      </c>
      <c r="H421">
        <v>3</v>
      </c>
      <c r="I421" t="s">
        <v>112</v>
      </c>
      <c r="J421">
        <v>93</v>
      </c>
      <c r="K421">
        <v>279</v>
      </c>
      <c r="L421">
        <v>0.7</v>
      </c>
      <c r="M421">
        <v>37</v>
      </c>
      <c r="N421">
        <v>93</v>
      </c>
      <c r="O421">
        <v>0.7</v>
      </c>
      <c r="P421">
        <v>81</v>
      </c>
      <c r="Q421">
        <v>170</v>
      </c>
      <c r="R421">
        <v>0.7</v>
      </c>
      <c r="S421">
        <v>1500000</v>
      </c>
      <c r="T421" t="s">
        <v>112</v>
      </c>
      <c r="U421" t="s">
        <v>802</v>
      </c>
      <c r="W421">
        <v>375</v>
      </c>
      <c r="X421" t="b">
        <v>0</v>
      </c>
    </row>
    <row r="422" spans="1:24" x14ac:dyDescent="0.25">
      <c r="A422">
        <v>421</v>
      </c>
      <c r="B422" t="s">
        <v>803</v>
      </c>
      <c r="C422">
        <v>5</v>
      </c>
      <c r="D422">
        <v>9</v>
      </c>
      <c r="E422">
        <v>50</v>
      </c>
      <c r="F422">
        <v>2</v>
      </c>
      <c r="G422" t="s">
        <v>112</v>
      </c>
      <c r="H422">
        <v>3</v>
      </c>
      <c r="I422" t="s">
        <v>112</v>
      </c>
      <c r="J422">
        <v>223</v>
      </c>
      <c r="K422">
        <v>736</v>
      </c>
      <c r="L422">
        <v>0.7</v>
      </c>
      <c r="M422">
        <v>84</v>
      </c>
      <c r="N422">
        <v>252</v>
      </c>
      <c r="O422">
        <v>0.7</v>
      </c>
      <c r="P422">
        <v>153</v>
      </c>
      <c r="Q422">
        <v>321</v>
      </c>
      <c r="R422">
        <v>0.7</v>
      </c>
      <c r="S422">
        <v>1500000</v>
      </c>
      <c r="T422" t="s">
        <v>793</v>
      </c>
      <c r="U422" t="s">
        <v>802</v>
      </c>
      <c r="W422">
        <v>525</v>
      </c>
      <c r="X422" t="b">
        <v>0</v>
      </c>
    </row>
    <row r="423" spans="1:24" x14ac:dyDescent="0.25">
      <c r="A423">
        <v>422</v>
      </c>
      <c r="B423" t="s">
        <v>804</v>
      </c>
      <c r="C423">
        <v>6</v>
      </c>
      <c r="D423">
        <v>15</v>
      </c>
      <c r="E423">
        <v>99</v>
      </c>
      <c r="F423">
        <v>2</v>
      </c>
      <c r="G423" t="s">
        <v>112</v>
      </c>
      <c r="H423">
        <v>3</v>
      </c>
      <c r="I423" t="s">
        <v>112</v>
      </c>
      <c r="J423">
        <v>589</v>
      </c>
      <c r="K423">
        <v>1944</v>
      </c>
      <c r="L423">
        <v>0.7</v>
      </c>
      <c r="M423">
        <v>227</v>
      </c>
      <c r="N423">
        <v>981</v>
      </c>
      <c r="O423">
        <v>0.7</v>
      </c>
      <c r="P423">
        <v>289</v>
      </c>
      <c r="Q423">
        <v>607</v>
      </c>
      <c r="R423">
        <v>0.7</v>
      </c>
      <c r="S423">
        <v>3000000</v>
      </c>
      <c r="T423" t="s">
        <v>796</v>
      </c>
      <c r="U423" t="s">
        <v>802</v>
      </c>
      <c r="V423" t="s">
        <v>795</v>
      </c>
      <c r="W423">
        <v>787.5</v>
      </c>
      <c r="X423" t="b">
        <v>0</v>
      </c>
    </row>
    <row r="424" spans="1:24" x14ac:dyDescent="0.25">
      <c r="A424">
        <v>423</v>
      </c>
      <c r="B424" t="s">
        <v>805</v>
      </c>
      <c r="C424">
        <v>4</v>
      </c>
      <c r="D424">
        <v>6</v>
      </c>
      <c r="E424">
        <v>15</v>
      </c>
      <c r="F424">
        <v>3</v>
      </c>
      <c r="G424" t="s">
        <v>112</v>
      </c>
      <c r="H424">
        <v>3</v>
      </c>
      <c r="I424" t="s">
        <v>112</v>
      </c>
      <c r="J424">
        <v>90</v>
      </c>
      <c r="K424">
        <v>270</v>
      </c>
      <c r="L424">
        <v>0.7</v>
      </c>
      <c r="M424">
        <v>43</v>
      </c>
      <c r="N424">
        <v>108</v>
      </c>
      <c r="O424">
        <v>0.7</v>
      </c>
      <c r="P424">
        <v>73</v>
      </c>
      <c r="Q424">
        <v>153</v>
      </c>
      <c r="R424">
        <v>0.7</v>
      </c>
      <c r="S424">
        <v>1500000</v>
      </c>
      <c r="T424" t="s">
        <v>112</v>
      </c>
      <c r="U424" t="s">
        <v>806</v>
      </c>
      <c r="W424">
        <v>375</v>
      </c>
      <c r="X424" t="b">
        <v>0</v>
      </c>
    </row>
    <row r="425" spans="1:24" x14ac:dyDescent="0.25">
      <c r="A425">
        <v>424</v>
      </c>
      <c r="B425" t="s">
        <v>807</v>
      </c>
      <c r="C425">
        <v>5</v>
      </c>
      <c r="D425">
        <v>9</v>
      </c>
      <c r="E425">
        <v>50</v>
      </c>
      <c r="F425">
        <v>3</v>
      </c>
      <c r="G425" t="s">
        <v>112</v>
      </c>
      <c r="H425">
        <v>3</v>
      </c>
      <c r="I425" t="s">
        <v>112</v>
      </c>
      <c r="J425">
        <v>216</v>
      </c>
      <c r="K425">
        <v>713</v>
      </c>
      <c r="L425">
        <v>0.7</v>
      </c>
      <c r="M425">
        <v>97</v>
      </c>
      <c r="N425">
        <v>291</v>
      </c>
      <c r="O425">
        <v>0.7</v>
      </c>
      <c r="P425">
        <v>138</v>
      </c>
      <c r="Q425">
        <v>290</v>
      </c>
      <c r="R425">
        <v>0.7</v>
      </c>
      <c r="S425">
        <v>1500000</v>
      </c>
      <c r="T425" t="s">
        <v>793</v>
      </c>
      <c r="U425" t="s">
        <v>806</v>
      </c>
      <c r="W425">
        <v>525</v>
      </c>
      <c r="X425" t="b">
        <v>0</v>
      </c>
    </row>
    <row r="426" spans="1:24" x14ac:dyDescent="0.25">
      <c r="A426">
        <v>425</v>
      </c>
      <c r="B426" t="s">
        <v>808</v>
      </c>
      <c r="C426">
        <v>6</v>
      </c>
      <c r="D426">
        <v>15</v>
      </c>
      <c r="E426">
        <v>99</v>
      </c>
      <c r="F426">
        <v>3</v>
      </c>
      <c r="G426" t="s">
        <v>112</v>
      </c>
      <c r="H426">
        <v>3</v>
      </c>
      <c r="I426" t="s">
        <v>112</v>
      </c>
      <c r="J426">
        <v>570</v>
      </c>
      <c r="K426">
        <v>1881</v>
      </c>
      <c r="L426">
        <v>0.7</v>
      </c>
      <c r="M426">
        <v>262</v>
      </c>
      <c r="N426">
        <v>1086</v>
      </c>
      <c r="O426">
        <v>0.7</v>
      </c>
      <c r="P426">
        <v>261</v>
      </c>
      <c r="Q426">
        <v>548</v>
      </c>
      <c r="R426">
        <v>0.7</v>
      </c>
      <c r="S426">
        <v>3000000</v>
      </c>
      <c r="T426" t="s">
        <v>796</v>
      </c>
      <c r="U426" t="s">
        <v>806</v>
      </c>
      <c r="V426" t="s">
        <v>795</v>
      </c>
      <c r="W426">
        <v>787.5</v>
      </c>
      <c r="X426" t="b">
        <v>0</v>
      </c>
    </row>
    <row r="427" spans="1:24" x14ac:dyDescent="0.25">
      <c r="A427">
        <v>426</v>
      </c>
      <c r="B427" t="s">
        <v>809</v>
      </c>
      <c r="C427">
        <v>4</v>
      </c>
      <c r="D427">
        <v>6</v>
      </c>
      <c r="E427">
        <v>15</v>
      </c>
      <c r="F427">
        <v>4</v>
      </c>
      <c r="G427" t="s">
        <v>112</v>
      </c>
      <c r="H427">
        <v>3</v>
      </c>
      <c r="I427" t="s">
        <v>112</v>
      </c>
      <c r="J427">
        <v>91</v>
      </c>
      <c r="K427">
        <v>273</v>
      </c>
      <c r="L427">
        <v>0.7</v>
      </c>
      <c r="M427">
        <v>41</v>
      </c>
      <c r="N427">
        <v>103</v>
      </c>
      <c r="O427">
        <v>0.7</v>
      </c>
      <c r="P427">
        <v>74</v>
      </c>
      <c r="Q427">
        <v>155</v>
      </c>
      <c r="R427">
        <v>0.7</v>
      </c>
      <c r="S427">
        <v>1500000</v>
      </c>
      <c r="T427" t="s">
        <v>112</v>
      </c>
      <c r="U427" t="s">
        <v>810</v>
      </c>
      <c r="W427">
        <v>375</v>
      </c>
      <c r="X427" t="b">
        <v>0</v>
      </c>
    </row>
    <row r="428" spans="1:24" x14ac:dyDescent="0.25">
      <c r="A428">
        <v>427</v>
      </c>
      <c r="B428" t="s">
        <v>811</v>
      </c>
      <c r="C428">
        <v>5</v>
      </c>
      <c r="D428">
        <v>9</v>
      </c>
      <c r="E428">
        <v>50</v>
      </c>
      <c r="F428">
        <v>4</v>
      </c>
      <c r="G428" t="s">
        <v>112</v>
      </c>
      <c r="H428">
        <v>3</v>
      </c>
      <c r="I428" t="s">
        <v>112</v>
      </c>
      <c r="J428">
        <v>218</v>
      </c>
      <c r="K428">
        <v>719</v>
      </c>
      <c r="L428">
        <v>0.7</v>
      </c>
      <c r="M428">
        <v>93</v>
      </c>
      <c r="N428">
        <v>279</v>
      </c>
      <c r="O428">
        <v>0.7</v>
      </c>
      <c r="P428">
        <v>140</v>
      </c>
      <c r="Q428">
        <v>294</v>
      </c>
      <c r="R428">
        <v>0.7</v>
      </c>
      <c r="S428">
        <v>1500000</v>
      </c>
      <c r="T428" t="s">
        <v>793</v>
      </c>
      <c r="U428" t="s">
        <v>810</v>
      </c>
      <c r="W428">
        <v>525</v>
      </c>
      <c r="X428" t="b">
        <v>0</v>
      </c>
    </row>
    <row r="429" spans="1:24" x14ac:dyDescent="0.25">
      <c r="A429">
        <v>428</v>
      </c>
      <c r="B429" t="s">
        <v>812</v>
      </c>
      <c r="C429">
        <v>6</v>
      </c>
      <c r="D429">
        <v>15</v>
      </c>
      <c r="E429">
        <v>99</v>
      </c>
      <c r="F429">
        <v>4</v>
      </c>
      <c r="G429" t="s">
        <v>112</v>
      </c>
      <c r="H429">
        <v>3</v>
      </c>
      <c r="I429" t="s">
        <v>112</v>
      </c>
      <c r="J429">
        <v>575</v>
      </c>
      <c r="K429">
        <v>1898</v>
      </c>
      <c r="L429">
        <v>0.7</v>
      </c>
      <c r="M429">
        <v>251</v>
      </c>
      <c r="N429">
        <v>1053</v>
      </c>
      <c r="O429">
        <v>0.7</v>
      </c>
      <c r="P429">
        <v>265</v>
      </c>
      <c r="Q429">
        <v>557</v>
      </c>
      <c r="R429">
        <v>0.7</v>
      </c>
      <c r="S429">
        <v>3000000</v>
      </c>
      <c r="T429" t="s">
        <v>796</v>
      </c>
      <c r="U429" t="s">
        <v>810</v>
      </c>
      <c r="V429" t="s">
        <v>795</v>
      </c>
      <c r="W429">
        <v>787.5</v>
      </c>
      <c r="X429" t="b">
        <v>0</v>
      </c>
    </row>
    <row r="430" spans="1:24" x14ac:dyDescent="0.25">
      <c r="A430">
        <v>429</v>
      </c>
      <c r="B430" t="s">
        <v>813</v>
      </c>
      <c r="C430">
        <v>5</v>
      </c>
      <c r="D430">
        <v>1</v>
      </c>
      <c r="E430">
        <v>1</v>
      </c>
      <c r="F430">
        <v>4</v>
      </c>
      <c r="G430" t="s">
        <v>112</v>
      </c>
      <c r="H430">
        <v>14</v>
      </c>
      <c r="I430" t="s">
        <v>112</v>
      </c>
      <c r="J430">
        <v>400</v>
      </c>
      <c r="K430">
        <v>400</v>
      </c>
      <c r="L430">
        <v>1</v>
      </c>
      <c r="M430">
        <v>300</v>
      </c>
      <c r="N430">
        <v>300</v>
      </c>
      <c r="O430">
        <v>1</v>
      </c>
      <c r="P430">
        <v>300</v>
      </c>
      <c r="Q430">
        <v>300</v>
      </c>
      <c r="R430">
        <v>1</v>
      </c>
      <c r="S430">
        <v>1500000</v>
      </c>
      <c r="T430" t="s">
        <v>112</v>
      </c>
      <c r="U430" t="s">
        <v>112</v>
      </c>
      <c r="W430">
        <v>150000</v>
      </c>
      <c r="X430" t="b">
        <v>0</v>
      </c>
    </row>
    <row r="431" spans="1:24" x14ac:dyDescent="0.25">
      <c r="A431">
        <v>430</v>
      </c>
      <c r="B431" t="s">
        <v>814</v>
      </c>
      <c r="C431">
        <v>5</v>
      </c>
      <c r="D431">
        <v>1</v>
      </c>
      <c r="E431">
        <v>1</v>
      </c>
      <c r="F431">
        <v>3</v>
      </c>
      <c r="G431" t="s">
        <v>112</v>
      </c>
      <c r="H431">
        <v>14</v>
      </c>
      <c r="I431" t="s">
        <v>112</v>
      </c>
      <c r="J431">
        <v>400</v>
      </c>
      <c r="K431">
        <v>400</v>
      </c>
      <c r="L431">
        <v>1</v>
      </c>
      <c r="M431">
        <v>300</v>
      </c>
      <c r="N431">
        <v>300</v>
      </c>
      <c r="O431">
        <v>1</v>
      </c>
      <c r="P431">
        <v>300</v>
      </c>
      <c r="Q431">
        <v>300</v>
      </c>
      <c r="R431">
        <v>1</v>
      </c>
      <c r="S431">
        <v>1500000</v>
      </c>
      <c r="T431" t="s">
        <v>112</v>
      </c>
      <c r="U431" t="s">
        <v>112</v>
      </c>
      <c r="W431">
        <v>100000</v>
      </c>
      <c r="X431" t="b">
        <v>0</v>
      </c>
    </row>
    <row r="432" spans="1:24" x14ac:dyDescent="0.25">
      <c r="A432">
        <v>431</v>
      </c>
      <c r="B432" t="s">
        <v>815</v>
      </c>
      <c r="C432">
        <v>3</v>
      </c>
      <c r="D432">
        <v>5</v>
      </c>
      <c r="E432">
        <v>10</v>
      </c>
      <c r="F432">
        <v>2</v>
      </c>
      <c r="G432" t="s">
        <v>112</v>
      </c>
      <c r="H432">
        <v>3</v>
      </c>
      <c r="I432" t="s">
        <v>112</v>
      </c>
      <c r="J432">
        <v>20</v>
      </c>
      <c r="K432">
        <v>200</v>
      </c>
      <c r="L432">
        <v>1</v>
      </c>
      <c r="M432">
        <v>40</v>
      </c>
      <c r="N432">
        <v>400</v>
      </c>
      <c r="O432">
        <v>1</v>
      </c>
      <c r="P432">
        <v>40</v>
      </c>
      <c r="Q432">
        <v>400</v>
      </c>
      <c r="R432">
        <v>1</v>
      </c>
      <c r="S432">
        <v>1500000</v>
      </c>
      <c r="T432" t="s">
        <v>112</v>
      </c>
      <c r="U432" t="s">
        <v>112</v>
      </c>
      <c r="W432">
        <v>200</v>
      </c>
      <c r="X432" t="b">
        <v>0</v>
      </c>
    </row>
    <row r="433" spans="1:24" x14ac:dyDescent="0.25">
      <c r="A433">
        <v>432</v>
      </c>
      <c r="B433" t="s">
        <v>816</v>
      </c>
      <c r="C433">
        <v>4</v>
      </c>
      <c r="D433">
        <v>10</v>
      </c>
      <c r="E433">
        <v>1</v>
      </c>
      <c r="F433">
        <v>2</v>
      </c>
      <c r="G433" t="s">
        <v>112</v>
      </c>
      <c r="H433">
        <v>0</v>
      </c>
      <c r="I433" t="s">
        <v>112</v>
      </c>
      <c r="J433">
        <v>400</v>
      </c>
      <c r="K433">
        <v>400</v>
      </c>
      <c r="L433">
        <v>1</v>
      </c>
      <c r="M433">
        <v>800</v>
      </c>
      <c r="N433">
        <v>800</v>
      </c>
      <c r="O433">
        <v>1</v>
      </c>
      <c r="P433">
        <v>800</v>
      </c>
      <c r="Q433">
        <v>800</v>
      </c>
      <c r="R433">
        <v>1</v>
      </c>
      <c r="S433">
        <v>1500000</v>
      </c>
      <c r="T433" t="s">
        <v>112</v>
      </c>
      <c r="U433" t="s">
        <v>339</v>
      </c>
      <c r="W433">
        <v>2000</v>
      </c>
      <c r="X433" t="b">
        <v>0</v>
      </c>
    </row>
    <row r="434" spans="1:24" x14ac:dyDescent="0.25">
      <c r="A434">
        <v>433</v>
      </c>
      <c r="B434" t="s">
        <v>817</v>
      </c>
      <c r="C434">
        <v>2</v>
      </c>
      <c r="D434">
        <v>5</v>
      </c>
      <c r="E434">
        <v>10</v>
      </c>
      <c r="F434">
        <v>1</v>
      </c>
      <c r="G434" t="s">
        <v>112</v>
      </c>
      <c r="H434">
        <v>2</v>
      </c>
      <c r="I434" t="s">
        <v>112</v>
      </c>
      <c r="J434">
        <v>80</v>
      </c>
      <c r="K434">
        <v>800</v>
      </c>
      <c r="L434">
        <v>1</v>
      </c>
      <c r="M434">
        <v>10</v>
      </c>
      <c r="N434">
        <v>100</v>
      </c>
      <c r="O434">
        <v>1</v>
      </c>
      <c r="P434">
        <v>10</v>
      </c>
      <c r="Q434">
        <v>100</v>
      </c>
      <c r="R434">
        <v>1</v>
      </c>
      <c r="S434">
        <v>1500000</v>
      </c>
      <c r="T434" t="s">
        <v>112</v>
      </c>
      <c r="U434" t="s">
        <v>112</v>
      </c>
      <c r="W434">
        <v>200</v>
      </c>
      <c r="X434" t="b">
        <v>0</v>
      </c>
    </row>
    <row r="435" spans="1:24" x14ac:dyDescent="0.25">
      <c r="A435">
        <v>434</v>
      </c>
      <c r="B435" t="s">
        <v>818</v>
      </c>
      <c r="C435">
        <v>3</v>
      </c>
      <c r="D435">
        <v>10</v>
      </c>
      <c r="E435">
        <v>1</v>
      </c>
      <c r="F435">
        <v>1</v>
      </c>
      <c r="G435" t="s">
        <v>112</v>
      </c>
      <c r="H435">
        <v>0</v>
      </c>
      <c r="I435" t="s">
        <v>112</v>
      </c>
      <c r="J435">
        <v>1600</v>
      </c>
      <c r="K435">
        <v>1600</v>
      </c>
      <c r="L435">
        <v>1</v>
      </c>
      <c r="M435">
        <v>200</v>
      </c>
      <c r="N435">
        <v>200</v>
      </c>
      <c r="O435">
        <v>1</v>
      </c>
      <c r="P435">
        <v>200</v>
      </c>
      <c r="Q435">
        <v>200</v>
      </c>
      <c r="R435">
        <v>1</v>
      </c>
      <c r="S435">
        <v>1500000</v>
      </c>
      <c r="T435" t="s">
        <v>112</v>
      </c>
      <c r="U435" t="s">
        <v>127</v>
      </c>
      <c r="W435">
        <v>2000</v>
      </c>
      <c r="X435" t="b">
        <v>0</v>
      </c>
    </row>
    <row r="436" spans="1:24" x14ac:dyDescent="0.25">
      <c r="A436">
        <v>435</v>
      </c>
      <c r="B436" t="s">
        <v>819</v>
      </c>
      <c r="C436">
        <v>2</v>
      </c>
      <c r="D436">
        <v>5</v>
      </c>
      <c r="E436">
        <v>10</v>
      </c>
      <c r="F436">
        <v>2</v>
      </c>
      <c r="G436" t="s">
        <v>112</v>
      </c>
      <c r="H436">
        <v>1</v>
      </c>
      <c r="I436" t="s">
        <v>112</v>
      </c>
      <c r="J436">
        <v>40</v>
      </c>
      <c r="K436">
        <v>400</v>
      </c>
      <c r="L436">
        <v>1</v>
      </c>
      <c r="M436">
        <v>30</v>
      </c>
      <c r="N436">
        <v>300</v>
      </c>
      <c r="O436">
        <v>1</v>
      </c>
      <c r="P436">
        <v>30</v>
      </c>
      <c r="Q436">
        <v>300</v>
      </c>
      <c r="R436">
        <v>1</v>
      </c>
      <c r="S436">
        <v>1500000</v>
      </c>
      <c r="T436" t="s">
        <v>112</v>
      </c>
      <c r="U436" t="s">
        <v>112</v>
      </c>
      <c r="W436">
        <v>200</v>
      </c>
      <c r="X436" t="b">
        <v>0</v>
      </c>
    </row>
    <row r="437" spans="1:24" x14ac:dyDescent="0.25">
      <c r="A437">
        <v>436</v>
      </c>
      <c r="B437" t="s">
        <v>820</v>
      </c>
      <c r="C437">
        <v>3</v>
      </c>
      <c r="D437">
        <v>10</v>
      </c>
      <c r="E437">
        <v>1</v>
      </c>
      <c r="F437">
        <v>2</v>
      </c>
      <c r="G437" t="s">
        <v>112</v>
      </c>
      <c r="H437">
        <v>0</v>
      </c>
      <c r="I437" t="s">
        <v>112</v>
      </c>
      <c r="J437">
        <v>800</v>
      </c>
      <c r="K437">
        <v>800</v>
      </c>
      <c r="L437">
        <v>1</v>
      </c>
      <c r="M437">
        <v>600</v>
      </c>
      <c r="N437">
        <v>600</v>
      </c>
      <c r="O437">
        <v>1</v>
      </c>
      <c r="P437">
        <v>600</v>
      </c>
      <c r="Q437">
        <v>600</v>
      </c>
      <c r="R437">
        <v>1</v>
      </c>
      <c r="S437">
        <v>1500000</v>
      </c>
      <c r="T437" t="s">
        <v>112</v>
      </c>
      <c r="U437" t="s">
        <v>135</v>
      </c>
      <c r="W437">
        <v>2000</v>
      </c>
      <c r="X437" t="b">
        <v>0</v>
      </c>
    </row>
    <row r="438" spans="1:24" x14ac:dyDescent="0.25">
      <c r="A438">
        <v>437</v>
      </c>
      <c r="B438" t="s">
        <v>821</v>
      </c>
      <c r="C438">
        <v>3</v>
      </c>
      <c r="D438">
        <v>5</v>
      </c>
      <c r="E438">
        <v>15</v>
      </c>
      <c r="F438">
        <v>0</v>
      </c>
      <c r="G438" t="s">
        <v>112</v>
      </c>
      <c r="H438">
        <v>6</v>
      </c>
      <c r="I438" t="s">
        <v>112</v>
      </c>
      <c r="J438">
        <v>30</v>
      </c>
      <c r="K438">
        <v>300</v>
      </c>
      <c r="L438">
        <v>1</v>
      </c>
      <c r="M438">
        <v>50</v>
      </c>
      <c r="N438">
        <v>500</v>
      </c>
      <c r="O438">
        <v>1</v>
      </c>
      <c r="P438">
        <v>20</v>
      </c>
      <c r="Q438">
        <v>200</v>
      </c>
      <c r="R438">
        <v>1</v>
      </c>
      <c r="S438">
        <v>1500000</v>
      </c>
      <c r="T438" t="s">
        <v>112</v>
      </c>
      <c r="U438" t="s">
        <v>118</v>
      </c>
      <c r="W438">
        <v>300</v>
      </c>
      <c r="X438" t="b">
        <v>0</v>
      </c>
    </row>
    <row r="439" spans="1:24" x14ac:dyDescent="0.25">
      <c r="A439">
        <v>438</v>
      </c>
      <c r="B439" t="s">
        <v>822</v>
      </c>
      <c r="C439">
        <v>4</v>
      </c>
      <c r="D439">
        <v>10</v>
      </c>
      <c r="E439">
        <v>30</v>
      </c>
      <c r="F439">
        <v>0</v>
      </c>
      <c r="G439" t="s">
        <v>112</v>
      </c>
      <c r="H439">
        <v>6</v>
      </c>
      <c r="I439" t="s">
        <v>112</v>
      </c>
      <c r="J439">
        <v>240</v>
      </c>
      <c r="K439">
        <v>600</v>
      </c>
      <c r="L439">
        <v>1</v>
      </c>
      <c r="M439">
        <v>450</v>
      </c>
      <c r="N439">
        <v>1000</v>
      </c>
      <c r="O439">
        <v>1</v>
      </c>
      <c r="P439">
        <v>180</v>
      </c>
      <c r="Q439">
        <v>400</v>
      </c>
      <c r="R439">
        <v>1</v>
      </c>
      <c r="S439">
        <v>1500000</v>
      </c>
      <c r="T439" t="s">
        <v>112</v>
      </c>
      <c r="U439" t="s">
        <v>308</v>
      </c>
      <c r="W439">
        <v>525</v>
      </c>
      <c r="X439" t="b">
        <v>0</v>
      </c>
    </row>
    <row r="440" spans="1:24" x14ac:dyDescent="0.25">
      <c r="A440">
        <v>439</v>
      </c>
      <c r="B440" t="s">
        <v>823</v>
      </c>
      <c r="C440">
        <v>5</v>
      </c>
      <c r="D440">
        <v>15</v>
      </c>
      <c r="E440">
        <v>50</v>
      </c>
      <c r="F440">
        <v>2</v>
      </c>
      <c r="G440" t="s">
        <v>112</v>
      </c>
      <c r="H440">
        <v>5</v>
      </c>
      <c r="I440" t="s">
        <v>112</v>
      </c>
      <c r="J440">
        <v>480</v>
      </c>
      <c r="K440">
        <v>1488</v>
      </c>
      <c r="L440">
        <v>1</v>
      </c>
      <c r="M440">
        <v>900</v>
      </c>
      <c r="N440">
        <v>1080</v>
      </c>
      <c r="O440">
        <v>1</v>
      </c>
      <c r="P440">
        <v>360</v>
      </c>
      <c r="Q440">
        <v>432</v>
      </c>
      <c r="R440">
        <v>1</v>
      </c>
      <c r="S440">
        <v>4000000</v>
      </c>
      <c r="T440" t="s">
        <v>824</v>
      </c>
      <c r="U440" t="s">
        <v>825</v>
      </c>
      <c r="W440">
        <v>750</v>
      </c>
      <c r="X440" t="b">
        <v>0</v>
      </c>
    </row>
    <row r="441" spans="1:24" x14ac:dyDescent="0.25">
      <c r="A441">
        <v>440</v>
      </c>
      <c r="B441" t="s">
        <v>826</v>
      </c>
      <c r="C441">
        <v>6</v>
      </c>
      <c r="D441">
        <v>20</v>
      </c>
      <c r="E441">
        <v>99</v>
      </c>
      <c r="F441">
        <v>2</v>
      </c>
      <c r="G441" t="s">
        <v>112</v>
      </c>
      <c r="H441">
        <v>5</v>
      </c>
      <c r="I441" t="s">
        <v>112</v>
      </c>
      <c r="J441">
        <v>1190</v>
      </c>
      <c r="K441">
        <v>3689</v>
      </c>
      <c r="L441">
        <v>1</v>
      </c>
      <c r="M441">
        <v>972</v>
      </c>
      <c r="N441">
        <v>1166</v>
      </c>
      <c r="O441">
        <v>1</v>
      </c>
      <c r="P441">
        <v>389</v>
      </c>
      <c r="Q441">
        <v>467</v>
      </c>
      <c r="R441">
        <v>1</v>
      </c>
      <c r="S441">
        <v>4000000</v>
      </c>
      <c r="T441" t="s">
        <v>824</v>
      </c>
      <c r="U441" t="s">
        <v>825</v>
      </c>
      <c r="V441" t="s">
        <v>2195</v>
      </c>
      <c r="W441">
        <v>975</v>
      </c>
      <c r="X441" t="b">
        <v>0</v>
      </c>
    </row>
    <row r="442" spans="1:24" x14ac:dyDescent="0.25">
      <c r="A442">
        <v>441</v>
      </c>
      <c r="B442" t="s">
        <v>2196</v>
      </c>
      <c r="C442">
        <v>6</v>
      </c>
      <c r="D442">
        <v>60</v>
      </c>
      <c r="E442">
        <v>99</v>
      </c>
      <c r="F442">
        <v>0</v>
      </c>
      <c r="G442" t="s">
        <v>112</v>
      </c>
      <c r="H442">
        <v>4</v>
      </c>
      <c r="I442" t="s">
        <v>112</v>
      </c>
      <c r="J442">
        <v>1406</v>
      </c>
      <c r="K442">
        <v>3796</v>
      </c>
      <c r="L442">
        <v>1.5</v>
      </c>
      <c r="M442">
        <v>557</v>
      </c>
      <c r="N442">
        <v>1170</v>
      </c>
      <c r="O442">
        <v>1.5</v>
      </c>
      <c r="P442">
        <v>119</v>
      </c>
      <c r="Q442">
        <v>418</v>
      </c>
      <c r="R442">
        <v>1.5</v>
      </c>
      <c r="S442">
        <v>4000000</v>
      </c>
      <c r="T442" t="s">
        <v>827</v>
      </c>
      <c r="U442" t="s">
        <v>828</v>
      </c>
      <c r="V442" t="s">
        <v>350</v>
      </c>
      <c r="W442">
        <v>2475</v>
      </c>
      <c r="X442" t="b">
        <v>0</v>
      </c>
    </row>
    <row r="443" spans="1:24" x14ac:dyDescent="0.25">
      <c r="A443">
        <v>442</v>
      </c>
      <c r="B443" t="s">
        <v>2197</v>
      </c>
      <c r="C443">
        <v>6</v>
      </c>
      <c r="D443">
        <v>60</v>
      </c>
      <c r="E443">
        <v>99</v>
      </c>
      <c r="F443">
        <v>1</v>
      </c>
      <c r="G443" t="s">
        <v>112</v>
      </c>
      <c r="H443">
        <v>4</v>
      </c>
      <c r="I443" t="s">
        <v>112</v>
      </c>
      <c r="J443">
        <v>1421</v>
      </c>
      <c r="K443">
        <v>3837</v>
      </c>
      <c r="L443">
        <v>1.5</v>
      </c>
      <c r="M443">
        <v>548</v>
      </c>
      <c r="N443">
        <v>1151</v>
      </c>
      <c r="O443">
        <v>1.5</v>
      </c>
      <c r="P443">
        <v>121</v>
      </c>
      <c r="Q443">
        <v>425</v>
      </c>
      <c r="R443">
        <v>1.5</v>
      </c>
      <c r="S443">
        <v>4000000</v>
      </c>
      <c r="T443" t="s">
        <v>827</v>
      </c>
      <c r="U443" t="s">
        <v>829</v>
      </c>
      <c r="V443" t="s">
        <v>352</v>
      </c>
      <c r="W443">
        <v>2475</v>
      </c>
      <c r="X443" t="b">
        <v>0</v>
      </c>
    </row>
    <row r="444" spans="1:24" x14ac:dyDescent="0.25">
      <c r="A444">
        <v>443</v>
      </c>
      <c r="B444" t="s">
        <v>2198</v>
      </c>
      <c r="C444">
        <v>6</v>
      </c>
      <c r="D444">
        <v>60</v>
      </c>
      <c r="E444">
        <v>99</v>
      </c>
      <c r="F444">
        <v>2</v>
      </c>
      <c r="G444" t="s">
        <v>112</v>
      </c>
      <c r="H444">
        <v>4</v>
      </c>
      <c r="I444" t="s">
        <v>112</v>
      </c>
      <c r="J444">
        <v>1439</v>
      </c>
      <c r="K444">
        <v>3885</v>
      </c>
      <c r="L444">
        <v>1.5</v>
      </c>
      <c r="M444">
        <v>539</v>
      </c>
      <c r="N444">
        <v>1132</v>
      </c>
      <c r="O444">
        <v>1.5</v>
      </c>
      <c r="P444">
        <v>123</v>
      </c>
      <c r="Q444">
        <v>432</v>
      </c>
      <c r="R444">
        <v>1.5</v>
      </c>
      <c r="S444">
        <v>4000000</v>
      </c>
      <c r="T444" t="s">
        <v>827</v>
      </c>
      <c r="U444" t="s">
        <v>830</v>
      </c>
      <c r="V444" t="s">
        <v>354</v>
      </c>
      <c r="W444">
        <v>2475</v>
      </c>
      <c r="X444" t="b">
        <v>0</v>
      </c>
    </row>
    <row r="445" spans="1:24" x14ac:dyDescent="0.25">
      <c r="A445">
        <v>444</v>
      </c>
      <c r="B445" t="s">
        <v>2199</v>
      </c>
      <c r="C445">
        <v>6</v>
      </c>
      <c r="D445">
        <v>60</v>
      </c>
      <c r="E445">
        <v>99</v>
      </c>
      <c r="F445">
        <v>3</v>
      </c>
      <c r="G445" t="s">
        <v>112</v>
      </c>
      <c r="H445">
        <v>4</v>
      </c>
      <c r="I445" t="s">
        <v>112</v>
      </c>
      <c r="J445">
        <v>1414</v>
      </c>
      <c r="K445">
        <v>3818</v>
      </c>
      <c r="L445">
        <v>1.5</v>
      </c>
      <c r="M445">
        <v>530</v>
      </c>
      <c r="N445">
        <v>1113</v>
      </c>
      <c r="O445">
        <v>1.5</v>
      </c>
      <c r="P445">
        <v>125</v>
      </c>
      <c r="Q445">
        <v>439</v>
      </c>
      <c r="R445">
        <v>1.5</v>
      </c>
      <c r="S445">
        <v>4000000</v>
      </c>
      <c r="T445" t="s">
        <v>827</v>
      </c>
      <c r="U445" t="s">
        <v>831</v>
      </c>
      <c r="V445" t="s">
        <v>356</v>
      </c>
      <c r="W445">
        <v>2475</v>
      </c>
      <c r="X445" t="b">
        <v>0</v>
      </c>
    </row>
    <row r="446" spans="1:24" x14ac:dyDescent="0.25">
      <c r="A446">
        <v>445</v>
      </c>
      <c r="B446" t="s">
        <v>2200</v>
      </c>
      <c r="C446">
        <v>6</v>
      </c>
      <c r="D446">
        <v>60</v>
      </c>
      <c r="E446">
        <v>99</v>
      </c>
      <c r="F446">
        <v>4</v>
      </c>
      <c r="G446" t="s">
        <v>112</v>
      </c>
      <c r="H446">
        <v>4</v>
      </c>
      <c r="I446" t="s">
        <v>112</v>
      </c>
      <c r="J446">
        <v>1429</v>
      </c>
      <c r="K446">
        <v>3858</v>
      </c>
      <c r="L446">
        <v>1.5</v>
      </c>
      <c r="M446">
        <v>566</v>
      </c>
      <c r="N446">
        <v>1189</v>
      </c>
      <c r="O446">
        <v>1.5</v>
      </c>
      <c r="P446">
        <v>117</v>
      </c>
      <c r="Q446">
        <v>411</v>
      </c>
      <c r="R446">
        <v>1.5</v>
      </c>
      <c r="S446">
        <v>4000000</v>
      </c>
      <c r="T446" t="s">
        <v>827</v>
      </c>
      <c r="U446" t="s">
        <v>832</v>
      </c>
      <c r="V446" t="s">
        <v>358</v>
      </c>
      <c r="W446">
        <v>2475</v>
      </c>
      <c r="X446" t="b">
        <v>0</v>
      </c>
    </row>
    <row r="447" spans="1:24" x14ac:dyDescent="0.25">
      <c r="A447">
        <v>446</v>
      </c>
      <c r="B447" t="s">
        <v>833</v>
      </c>
      <c r="C447">
        <v>3</v>
      </c>
      <c r="D447">
        <v>7</v>
      </c>
      <c r="E447">
        <v>99</v>
      </c>
      <c r="F447">
        <v>3</v>
      </c>
      <c r="G447" t="s">
        <v>112</v>
      </c>
      <c r="H447">
        <v>13</v>
      </c>
      <c r="I447" t="s">
        <v>112</v>
      </c>
      <c r="J447">
        <v>99</v>
      </c>
      <c r="K447">
        <v>2148</v>
      </c>
      <c r="L447">
        <v>1</v>
      </c>
      <c r="M447">
        <v>47</v>
      </c>
      <c r="N447">
        <v>992</v>
      </c>
      <c r="O447">
        <v>1</v>
      </c>
      <c r="P447">
        <v>83</v>
      </c>
      <c r="Q447">
        <v>423</v>
      </c>
      <c r="R447">
        <v>1</v>
      </c>
      <c r="S447">
        <v>2500000</v>
      </c>
      <c r="T447" t="s">
        <v>835</v>
      </c>
      <c r="U447" t="s">
        <v>836</v>
      </c>
      <c r="V447" t="s">
        <v>834</v>
      </c>
      <c r="W447">
        <v>0</v>
      </c>
      <c r="X447" t="b">
        <v>0</v>
      </c>
    </row>
    <row r="448" spans="1:24" x14ac:dyDescent="0.25">
      <c r="A448">
        <v>447</v>
      </c>
      <c r="B448" t="s">
        <v>837</v>
      </c>
      <c r="C448">
        <v>4</v>
      </c>
      <c r="D448">
        <v>10</v>
      </c>
      <c r="E448">
        <v>50</v>
      </c>
      <c r="F448">
        <v>1</v>
      </c>
      <c r="G448" t="s">
        <v>112</v>
      </c>
      <c r="H448">
        <v>2</v>
      </c>
      <c r="I448" t="s">
        <v>112</v>
      </c>
      <c r="J448">
        <v>351</v>
      </c>
      <c r="K448">
        <v>1580</v>
      </c>
      <c r="L448">
        <v>1</v>
      </c>
      <c r="M448">
        <v>119</v>
      </c>
      <c r="N448">
        <v>536</v>
      </c>
      <c r="O448">
        <v>1</v>
      </c>
      <c r="P448">
        <v>35</v>
      </c>
      <c r="Q448">
        <v>74</v>
      </c>
      <c r="R448">
        <v>1</v>
      </c>
      <c r="S448">
        <v>1500000</v>
      </c>
      <c r="T448" t="s">
        <v>112</v>
      </c>
      <c r="U448" t="s">
        <v>838</v>
      </c>
      <c r="W448">
        <v>525</v>
      </c>
      <c r="X448" t="b">
        <v>0</v>
      </c>
    </row>
    <row r="449" spans="1:24" x14ac:dyDescent="0.25">
      <c r="A449">
        <v>448</v>
      </c>
      <c r="B449" t="s">
        <v>839</v>
      </c>
      <c r="C449">
        <v>5</v>
      </c>
      <c r="D449">
        <v>15</v>
      </c>
      <c r="E449">
        <v>99</v>
      </c>
      <c r="F449">
        <v>1</v>
      </c>
      <c r="G449" t="s">
        <v>112</v>
      </c>
      <c r="H449">
        <v>2</v>
      </c>
      <c r="I449" t="s">
        <v>112</v>
      </c>
      <c r="J449">
        <v>1264</v>
      </c>
      <c r="K449">
        <v>3160</v>
      </c>
      <c r="L449">
        <v>1</v>
      </c>
      <c r="M449">
        <v>482</v>
      </c>
      <c r="N449">
        <v>1205</v>
      </c>
      <c r="O449">
        <v>1</v>
      </c>
      <c r="P449">
        <v>67</v>
      </c>
      <c r="Q449">
        <v>141</v>
      </c>
      <c r="R449">
        <v>1</v>
      </c>
      <c r="S449">
        <v>3000000</v>
      </c>
      <c r="T449" t="s">
        <v>841</v>
      </c>
      <c r="U449" t="s">
        <v>838</v>
      </c>
      <c r="V449" t="s">
        <v>840</v>
      </c>
      <c r="W449">
        <v>750</v>
      </c>
      <c r="X449" t="b">
        <v>0</v>
      </c>
    </row>
    <row r="450" spans="1:24" x14ac:dyDescent="0.25">
      <c r="A450">
        <v>449</v>
      </c>
      <c r="B450" t="s">
        <v>842</v>
      </c>
      <c r="C450">
        <v>4</v>
      </c>
      <c r="D450">
        <v>10</v>
      </c>
      <c r="E450">
        <v>50</v>
      </c>
      <c r="F450">
        <v>0</v>
      </c>
      <c r="G450" t="s">
        <v>112</v>
      </c>
      <c r="H450">
        <v>2</v>
      </c>
      <c r="I450" t="s">
        <v>112</v>
      </c>
      <c r="J450">
        <v>393</v>
      </c>
      <c r="K450">
        <v>1769</v>
      </c>
      <c r="L450">
        <v>1</v>
      </c>
      <c r="M450">
        <v>129</v>
      </c>
      <c r="N450">
        <v>581</v>
      </c>
      <c r="O450">
        <v>1</v>
      </c>
      <c r="P450">
        <v>1</v>
      </c>
      <c r="Q450">
        <v>2</v>
      </c>
      <c r="R450">
        <v>1</v>
      </c>
      <c r="S450">
        <v>1500000</v>
      </c>
      <c r="T450" t="s">
        <v>112</v>
      </c>
      <c r="U450" t="s">
        <v>843</v>
      </c>
      <c r="W450">
        <v>525</v>
      </c>
      <c r="X450" t="b">
        <v>0</v>
      </c>
    </row>
    <row r="451" spans="1:24" x14ac:dyDescent="0.25">
      <c r="A451">
        <v>450</v>
      </c>
      <c r="B451" t="s">
        <v>844</v>
      </c>
      <c r="C451">
        <v>5</v>
      </c>
      <c r="D451">
        <v>15</v>
      </c>
      <c r="E451">
        <v>99</v>
      </c>
      <c r="F451">
        <v>0</v>
      </c>
      <c r="G451" t="s">
        <v>112</v>
      </c>
      <c r="H451">
        <v>2</v>
      </c>
      <c r="I451" t="s">
        <v>112</v>
      </c>
      <c r="J451">
        <v>1415</v>
      </c>
      <c r="K451">
        <v>3538</v>
      </c>
      <c r="L451">
        <v>1</v>
      </c>
      <c r="M451">
        <v>523</v>
      </c>
      <c r="N451">
        <v>1308</v>
      </c>
      <c r="O451">
        <v>1</v>
      </c>
      <c r="P451">
        <v>2</v>
      </c>
      <c r="Q451">
        <v>4</v>
      </c>
      <c r="R451">
        <v>1</v>
      </c>
      <c r="S451">
        <v>3000000</v>
      </c>
      <c r="T451" t="s">
        <v>846</v>
      </c>
      <c r="U451" t="s">
        <v>843</v>
      </c>
      <c r="V451" t="s">
        <v>845</v>
      </c>
      <c r="W451">
        <v>750</v>
      </c>
      <c r="X451" t="b">
        <v>0</v>
      </c>
    </row>
    <row r="452" spans="1:24" x14ac:dyDescent="0.25">
      <c r="A452">
        <v>451</v>
      </c>
      <c r="B452" t="s">
        <v>847</v>
      </c>
      <c r="C452">
        <v>4</v>
      </c>
      <c r="D452">
        <v>10</v>
      </c>
      <c r="E452">
        <v>50</v>
      </c>
      <c r="F452">
        <v>2</v>
      </c>
      <c r="G452" t="s">
        <v>112</v>
      </c>
      <c r="H452">
        <v>1</v>
      </c>
      <c r="I452" t="s">
        <v>112</v>
      </c>
      <c r="J452">
        <v>243</v>
      </c>
      <c r="K452">
        <v>1094</v>
      </c>
      <c r="L452">
        <v>1</v>
      </c>
      <c r="M452">
        <v>121</v>
      </c>
      <c r="N452">
        <v>545</v>
      </c>
      <c r="O452">
        <v>1</v>
      </c>
      <c r="P452">
        <v>97</v>
      </c>
      <c r="Q452">
        <v>204</v>
      </c>
      <c r="R452">
        <v>1</v>
      </c>
      <c r="S452">
        <v>1500000</v>
      </c>
      <c r="T452" t="s">
        <v>112</v>
      </c>
      <c r="U452" t="s">
        <v>848</v>
      </c>
      <c r="W452">
        <v>525</v>
      </c>
      <c r="X452" t="b">
        <v>0</v>
      </c>
    </row>
    <row r="453" spans="1:24" x14ac:dyDescent="0.25">
      <c r="A453">
        <v>452</v>
      </c>
      <c r="B453" t="s">
        <v>849</v>
      </c>
      <c r="C453">
        <v>5</v>
      </c>
      <c r="D453">
        <v>15</v>
      </c>
      <c r="E453">
        <v>99</v>
      </c>
      <c r="F453">
        <v>2</v>
      </c>
      <c r="G453" t="s">
        <v>112</v>
      </c>
      <c r="H453">
        <v>1</v>
      </c>
      <c r="I453" t="s">
        <v>112</v>
      </c>
      <c r="J453">
        <v>875</v>
      </c>
      <c r="K453">
        <v>2188</v>
      </c>
      <c r="L453">
        <v>1</v>
      </c>
      <c r="M453">
        <v>491</v>
      </c>
      <c r="N453">
        <v>1128</v>
      </c>
      <c r="O453">
        <v>1</v>
      </c>
      <c r="P453">
        <v>184</v>
      </c>
      <c r="Q453">
        <v>486</v>
      </c>
      <c r="R453">
        <v>1</v>
      </c>
      <c r="S453">
        <v>3000000</v>
      </c>
      <c r="T453" t="s">
        <v>851</v>
      </c>
      <c r="U453" t="s">
        <v>848</v>
      </c>
      <c r="V453" t="s">
        <v>850</v>
      </c>
      <c r="W453">
        <v>750</v>
      </c>
      <c r="X453" t="b">
        <v>0</v>
      </c>
    </row>
    <row r="454" spans="1:24" x14ac:dyDescent="0.25">
      <c r="A454">
        <v>453</v>
      </c>
      <c r="B454" t="s">
        <v>852</v>
      </c>
      <c r="C454">
        <v>4</v>
      </c>
      <c r="D454">
        <v>10</v>
      </c>
      <c r="E454">
        <v>50</v>
      </c>
      <c r="F454">
        <v>3</v>
      </c>
      <c r="G454" t="s">
        <v>112</v>
      </c>
      <c r="H454">
        <v>1</v>
      </c>
      <c r="I454" t="s">
        <v>112</v>
      </c>
      <c r="J454">
        <v>262</v>
      </c>
      <c r="K454">
        <v>1179</v>
      </c>
      <c r="L454">
        <v>1</v>
      </c>
      <c r="M454">
        <v>127</v>
      </c>
      <c r="N454">
        <v>572</v>
      </c>
      <c r="O454">
        <v>1</v>
      </c>
      <c r="P454">
        <v>85</v>
      </c>
      <c r="Q454">
        <v>179</v>
      </c>
      <c r="R454">
        <v>1</v>
      </c>
      <c r="S454">
        <v>1500000</v>
      </c>
      <c r="T454" t="s">
        <v>112</v>
      </c>
      <c r="U454" t="s">
        <v>853</v>
      </c>
      <c r="W454">
        <v>525</v>
      </c>
      <c r="X454" t="b">
        <v>0</v>
      </c>
    </row>
    <row r="455" spans="1:24" x14ac:dyDescent="0.25">
      <c r="A455">
        <v>454</v>
      </c>
      <c r="B455" t="s">
        <v>854</v>
      </c>
      <c r="C455">
        <v>5</v>
      </c>
      <c r="D455">
        <v>15</v>
      </c>
      <c r="E455">
        <v>99</v>
      </c>
      <c r="F455">
        <v>3</v>
      </c>
      <c r="G455" t="s">
        <v>112</v>
      </c>
      <c r="H455">
        <v>1</v>
      </c>
      <c r="I455" t="s">
        <v>112</v>
      </c>
      <c r="J455">
        <v>943</v>
      </c>
      <c r="K455">
        <v>2358</v>
      </c>
      <c r="L455">
        <v>1</v>
      </c>
      <c r="M455">
        <v>515</v>
      </c>
      <c r="N455">
        <v>1288</v>
      </c>
      <c r="O455">
        <v>1</v>
      </c>
      <c r="P455">
        <v>161</v>
      </c>
      <c r="Q455">
        <v>338</v>
      </c>
      <c r="R455">
        <v>1</v>
      </c>
      <c r="S455">
        <v>3000000</v>
      </c>
      <c r="T455" t="s">
        <v>856</v>
      </c>
      <c r="U455" t="s">
        <v>853</v>
      </c>
      <c r="V455" t="s">
        <v>855</v>
      </c>
      <c r="W455">
        <v>750</v>
      </c>
      <c r="X455" t="b">
        <v>0</v>
      </c>
    </row>
    <row r="456" spans="1:24" x14ac:dyDescent="0.25">
      <c r="A456">
        <v>455</v>
      </c>
      <c r="B456" t="s">
        <v>857</v>
      </c>
      <c r="C456">
        <v>4</v>
      </c>
      <c r="D456">
        <v>10</v>
      </c>
      <c r="E456">
        <v>50</v>
      </c>
      <c r="F456">
        <v>4</v>
      </c>
      <c r="G456" t="s">
        <v>112</v>
      </c>
      <c r="H456">
        <v>6</v>
      </c>
      <c r="I456" t="s">
        <v>112</v>
      </c>
      <c r="J456">
        <v>169</v>
      </c>
      <c r="K456">
        <v>761</v>
      </c>
      <c r="L456">
        <v>1</v>
      </c>
      <c r="M456">
        <v>149</v>
      </c>
      <c r="N456">
        <v>671</v>
      </c>
      <c r="O456">
        <v>1</v>
      </c>
      <c r="P456">
        <v>75</v>
      </c>
      <c r="Q456">
        <v>158</v>
      </c>
      <c r="R456">
        <v>1</v>
      </c>
      <c r="S456">
        <v>1500000</v>
      </c>
      <c r="T456" t="s">
        <v>112</v>
      </c>
      <c r="U456" t="s">
        <v>858</v>
      </c>
      <c r="W456">
        <v>525</v>
      </c>
      <c r="X456" t="b">
        <v>0</v>
      </c>
    </row>
    <row r="457" spans="1:24" x14ac:dyDescent="0.25">
      <c r="A457">
        <v>456</v>
      </c>
      <c r="B457" t="s">
        <v>859</v>
      </c>
      <c r="C457">
        <v>5</v>
      </c>
      <c r="D457">
        <v>15</v>
      </c>
      <c r="E457">
        <v>99</v>
      </c>
      <c r="F457">
        <v>4</v>
      </c>
      <c r="G457" t="s">
        <v>112</v>
      </c>
      <c r="H457">
        <v>6</v>
      </c>
      <c r="I457" t="s">
        <v>112</v>
      </c>
      <c r="J457">
        <v>609</v>
      </c>
      <c r="K457">
        <v>1523</v>
      </c>
      <c r="L457">
        <v>1</v>
      </c>
      <c r="M457">
        <v>604</v>
      </c>
      <c r="N457">
        <v>1510</v>
      </c>
      <c r="O457">
        <v>1</v>
      </c>
      <c r="P457">
        <v>142</v>
      </c>
      <c r="Q457">
        <v>298</v>
      </c>
      <c r="R457">
        <v>1</v>
      </c>
      <c r="S457">
        <v>3000000</v>
      </c>
      <c r="T457" t="s">
        <v>861</v>
      </c>
      <c r="U457" t="s">
        <v>858</v>
      </c>
      <c r="V457" t="s">
        <v>860</v>
      </c>
      <c r="W457">
        <v>750</v>
      </c>
      <c r="X457" t="b">
        <v>0</v>
      </c>
    </row>
    <row r="458" spans="1:24" x14ac:dyDescent="0.25">
      <c r="A458">
        <v>457</v>
      </c>
      <c r="B458" t="s">
        <v>862</v>
      </c>
      <c r="C458">
        <v>5</v>
      </c>
      <c r="D458">
        <v>13</v>
      </c>
      <c r="E458">
        <v>50</v>
      </c>
      <c r="F458">
        <v>3</v>
      </c>
      <c r="G458" t="s">
        <v>112</v>
      </c>
      <c r="H458">
        <v>3</v>
      </c>
      <c r="I458" t="s">
        <v>112</v>
      </c>
      <c r="J458">
        <v>259</v>
      </c>
      <c r="K458">
        <v>1166</v>
      </c>
      <c r="L458">
        <v>1</v>
      </c>
      <c r="M458">
        <v>120</v>
      </c>
      <c r="N458">
        <v>540</v>
      </c>
      <c r="O458">
        <v>1</v>
      </c>
      <c r="P458">
        <v>168</v>
      </c>
      <c r="Q458">
        <v>353</v>
      </c>
      <c r="R458">
        <v>1</v>
      </c>
      <c r="S458">
        <v>4000000</v>
      </c>
      <c r="T458" t="s">
        <v>863</v>
      </c>
      <c r="U458" t="s">
        <v>864</v>
      </c>
      <c r="W458">
        <v>675</v>
      </c>
      <c r="X458" t="b">
        <v>0</v>
      </c>
    </row>
    <row r="459" spans="1:24" x14ac:dyDescent="0.25">
      <c r="A459">
        <v>458</v>
      </c>
      <c r="B459" t="s">
        <v>865</v>
      </c>
      <c r="C459">
        <v>6</v>
      </c>
      <c r="D459">
        <v>19</v>
      </c>
      <c r="E459">
        <v>99</v>
      </c>
      <c r="F459">
        <v>3</v>
      </c>
      <c r="G459" t="s">
        <v>112</v>
      </c>
      <c r="H459">
        <v>3</v>
      </c>
      <c r="I459" t="s">
        <v>112</v>
      </c>
      <c r="J459">
        <v>933</v>
      </c>
      <c r="K459">
        <v>2333</v>
      </c>
      <c r="L459">
        <v>1</v>
      </c>
      <c r="M459">
        <v>486</v>
      </c>
      <c r="N459">
        <v>1215</v>
      </c>
      <c r="O459">
        <v>1</v>
      </c>
      <c r="P459">
        <v>318</v>
      </c>
      <c r="Q459">
        <v>668</v>
      </c>
      <c r="R459">
        <v>1</v>
      </c>
      <c r="S459">
        <v>4000000</v>
      </c>
      <c r="T459" t="s">
        <v>863</v>
      </c>
      <c r="U459" t="s">
        <v>864</v>
      </c>
      <c r="V459" t="s">
        <v>866</v>
      </c>
      <c r="W459">
        <v>937.5</v>
      </c>
      <c r="X459" t="b">
        <v>0</v>
      </c>
    </row>
    <row r="460" spans="1:24" x14ac:dyDescent="0.25">
      <c r="A460">
        <v>459</v>
      </c>
      <c r="B460" t="s">
        <v>867</v>
      </c>
      <c r="C460">
        <v>5</v>
      </c>
      <c r="D460">
        <v>13</v>
      </c>
      <c r="E460">
        <v>50</v>
      </c>
      <c r="F460">
        <v>2</v>
      </c>
      <c r="G460" t="s">
        <v>112</v>
      </c>
      <c r="H460">
        <v>1</v>
      </c>
      <c r="I460" t="s">
        <v>112</v>
      </c>
      <c r="J460">
        <v>280</v>
      </c>
      <c r="K460">
        <v>1260</v>
      </c>
      <c r="L460">
        <v>1</v>
      </c>
      <c r="M460">
        <v>140</v>
      </c>
      <c r="N460">
        <v>630</v>
      </c>
      <c r="O460">
        <v>1</v>
      </c>
      <c r="P460">
        <v>122</v>
      </c>
      <c r="Q460">
        <v>256</v>
      </c>
      <c r="R460">
        <v>1</v>
      </c>
      <c r="S460">
        <v>4000000</v>
      </c>
      <c r="T460" t="s">
        <v>868</v>
      </c>
      <c r="U460" t="s">
        <v>869</v>
      </c>
      <c r="W460">
        <v>675</v>
      </c>
      <c r="X460" t="b">
        <v>0</v>
      </c>
    </row>
    <row r="461" spans="1:24" x14ac:dyDescent="0.25">
      <c r="A461">
        <v>460</v>
      </c>
      <c r="B461" t="s">
        <v>870</v>
      </c>
      <c r="C461">
        <v>6</v>
      </c>
      <c r="D461">
        <v>19</v>
      </c>
      <c r="E461">
        <v>99</v>
      </c>
      <c r="F461">
        <v>2</v>
      </c>
      <c r="G461" t="s">
        <v>112</v>
      </c>
      <c r="H461">
        <v>1</v>
      </c>
      <c r="I461" t="s">
        <v>112</v>
      </c>
      <c r="J461">
        <v>1008</v>
      </c>
      <c r="K461">
        <v>2520</v>
      </c>
      <c r="L461">
        <v>1</v>
      </c>
      <c r="M461">
        <v>567</v>
      </c>
      <c r="N461">
        <v>1418</v>
      </c>
      <c r="O461">
        <v>1</v>
      </c>
      <c r="P461">
        <v>230</v>
      </c>
      <c r="Q461">
        <v>483</v>
      </c>
      <c r="R461">
        <v>1</v>
      </c>
      <c r="S461">
        <v>4000000</v>
      </c>
      <c r="T461" t="s">
        <v>868</v>
      </c>
      <c r="U461" t="s">
        <v>869</v>
      </c>
      <c r="V461" t="s">
        <v>871</v>
      </c>
      <c r="W461">
        <v>937.5</v>
      </c>
      <c r="X461" t="b">
        <v>0</v>
      </c>
    </row>
    <row r="462" spans="1:24" x14ac:dyDescent="0.25">
      <c r="A462">
        <v>461</v>
      </c>
      <c r="B462" t="s">
        <v>872</v>
      </c>
      <c r="C462">
        <v>3</v>
      </c>
      <c r="D462">
        <v>7</v>
      </c>
      <c r="E462">
        <v>35</v>
      </c>
      <c r="F462">
        <v>0</v>
      </c>
      <c r="G462" t="s">
        <v>112</v>
      </c>
      <c r="H462">
        <v>6</v>
      </c>
      <c r="I462" t="s">
        <v>112</v>
      </c>
      <c r="J462">
        <v>246</v>
      </c>
      <c r="K462">
        <v>1107</v>
      </c>
      <c r="L462">
        <v>1</v>
      </c>
      <c r="M462">
        <v>142</v>
      </c>
      <c r="N462">
        <v>639</v>
      </c>
      <c r="O462">
        <v>1</v>
      </c>
      <c r="P462">
        <v>0</v>
      </c>
      <c r="Q462">
        <v>0</v>
      </c>
      <c r="R462">
        <v>1</v>
      </c>
      <c r="S462">
        <v>1500000</v>
      </c>
      <c r="T462" t="s">
        <v>112</v>
      </c>
      <c r="U462" t="s">
        <v>873</v>
      </c>
      <c r="W462">
        <v>375</v>
      </c>
      <c r="X462" t="b">
        <v>0</v>
      </c>
    </row>
    <row r="463" spans="1:24" x14ac:dyDescent="0.25">
      <c r="A463">
        <v>462</v>
      </c>
      <c r="B463" t="s">
        <v>874</v>
      </c>
      <c r="C463">
        <v>4</v>
      </c>
      <c r="D463">
        <v>12</v>
      </c>
      <c r="E463">
        <v>70</v>
      </c>
      <c r="F463">
        <v>0</v>
      </c>
      <c r="G463" t="s">
        <v>112</v>
      </c>
      <c r="H463">
        <v>6</v>
      </c>
      <c r="I463">
        <v>7</v>
      </c>
      <c r="J463">
        <v>886</v>
      </c>
      <c r="K463">
        <v>2215</v>
      </c>
      <c r="L463">
        <v>1</v>
      </c>
      <c r="M463">
        <v>575</v>
      </c>
      <c r="N463">
        <v>1438</v>
      </c>
      <c r="O463">
        <v>1</v>
      </c>
      <c r="P463">
        <v>0</v>
      </c>
      <c r="Q463">
        <v>0</v>
      </c>
      <c r="R463">
        <v>1</v>
      </c>
      <c r="S463">
        <v>2500000</v>
      </c>
      <c r="T463" t="s">
        <v>876</v>
      </c>
      <c r="U463" t="s">
        <v>873</v>
      </c>
      <c r="V463" t="s">
        <v>875</v>
      </c>
      <c r="W463">
        <v>600</v>
      </c>
      <c r="X463" t="b">
        <v>0</v>
      </c>
    </row>
    <row r="464" spans="1:24" x14ac:dyDescent="0.25">
      <c r="A464">
        <v>463</v>
      </c>
      <c r="B464" t="s">
        <v>877</v>
      </c>
      <c r="C464">
        <v>3</v>
      </c>
      <c r="D464">
        <v>7</v>
      </c>
      <c r="E464">
        <v>35</v>
      </c>
      <c r="F464">
        <v>2</v>
      </c>
      <c r="G464" t="s">
        <v>112</v>
      </c>
      <c r="H464">
        <v>2</v>
      </c>
      <c r="I464" t="s">
        <v>112</v>
      </c>
      <c r="J464">
        <v>336</v>
      </c>
      <c r="K464">
        <v>1512</v>
      </c>
      <c r="L464">
        <v>1</v>
      </c>
      <c r="M464">
        <v>66</v>
      </c>
      <c r="N464">
        <v>297</v>
      </c>
      <c r="O464">
        <v>1</v>
      </c>
      <c r="P464">
        <v>79</v>
      </c>
      <c r="Q464">
        <v>166</v>
      </c>
      <c r="R464">
        <v>1</v>
      </c>
      <c r="S464">
        <v>1500000</v>
      </c>
      <c r="T464" t="s">
        <v>112</v>
      </c>
      <c r="U464" t="s">
        <v>878</v>
      </c>
      <c r="W464">
        <v>375</v>
      </c>
      <c r="X464" t="b">
        <v>0</v>
      </c>
    </row>
    <row r="465" spans="1:24" x14ac:dyDescent="0.25">
      <c r="A465">
        <v>464</v>
      </c>
      <c r="B465" t="s">
        <v>879</v>
      </c>
      <c r="C465">
        <v>4</v>
      </c>
      <c r="D465">
        <v>12</v>
      </c>
      <c r="E465">
        <v>70</v>
      </c>
      <c r="F465">
        <v>2</v>
      </c>
      <c r="G465" t="s">
        <v>112</v>
      </c>
      <c r="H465">
        <v>2</v>
      </c>
      <c r="I465" t="s">
        <v>112</v>
      </c>
      <c r="J465">
        <v>1210</v>
      </c>
      <c r="K465">
        <v>3025</v>
      </c>
      <c r="L465">
        <v>1</v>
      </c>
      <c r="M465">
        <v>267</v>
      </c>
      <c r="N465">
        <v>668</v>
      </c>
      <c r="O465">
        <v>1</v>
      </c>
      <c r="P465">
        <v>149</v>
      </c>
      <c r="Q465">
        <v>313</v>
      </c>
      <c r="R465">
        <v>1</v>
      </c>
      <c r="S465">
        <v>2500000</v>
      </c>
      <c r="T465" t="s">
        <v>880</v>
      </c>
      <c r="U465" t="s">
        <v>878</v>
      </c>
      <c r="W465">
        <v>600</v>
      </c>
      <c r="X465" t="b">
        <v>0</v>
      </c>
    </row>
    <row r="466" spans="1:24" x14ac:dyDescent="0.25">
      <c r="A466">
        <v>465</v>
      </c>
      <c r="B466" t="s">
        <v>881</v>
      </c>
      <c r="C466">
        <v>3</v>
      </c>
      <c r="D466">
        <v>7</v>
      </c>
      <c r="E466">
        <v>35</v>
      </c>
      <c r="F466">
        <v>1</v>
      </c>
      <c r="G466" t="s">
        <v>112</v>
      </c>
      <c r="H466">
        <v>1</v>
      </c>
      <c r="I466" t="s">
        <v>112</v>
      </c>
      <c r="J466">
        <v>173</v>
      </c>
      <c r="K466">
        <v>779</v>
      </c>
      <c r="L466">
        <v>1</v>
      </c>
      <c r="M466">
        <v>107</v>
      </c>
      <c r="N466">
        <v>482</v>
      </c>
      <c r="O466">
        <v>1</v>
      </c>
      <c r="P466">
        <v>39</v>
      </c>
      <c r="Q466">
        <v>82</v>
      </c>
      <c r="R466">
        <v>1</v>
      </c>
      <c r="S466">
        <v>1500000</v>
      </c>
      <c r="T466" t="s">
        <v>112</v>
      </c>
      <c r="U466" t="s">
        <v>882</v>
      </c>
      <c r="W466">
        <v>375</v>
      </c>
      <c r="X466" t="b">
        <v>0</v>
      </c>
    </row>
    <row r="467" spans="1:24" x14ac:dyDescent="0.25">
      <c r="A467">
        <v>466</v>
      </c>
      <c r="B467" t="s">
        <v>883</v>
      </c>
      <c r="C467">
        <v>4</v>
      </c>
      <c r="D467">
        <v>12</v>
      </c>
      <c r="E467">
        <v>70</v>
      </c>
      <c r="F467">
        <v>1</v>
      </c>
      <c r="G467" t="s">
        <v>112</v>
      </c>
      <c r="H467">
        <v>1</v>
      </c>
      <c r="I467" t="s">
        <v>112</v>
      </c>
      <c r="J467">
        <v>623</v>
      </c>
      <c r="K467">
        <v>1558</v>
      </c>
      <c r="L467">
        <v>1</v>
      </c>
      <c r="M467">
        <v>434</v>
      </c>
      <c r="N467">
        <v>1085</v>
      </c>
      <c r="O467">
        <v>1</v>
      </c>
      <c r="P467">
        <v>74</v>
      </c>
      <c r="Q467">
        <v>155</v>
      </c>
      <c r="R467">
        <v>1</v>
      </c>
      <c r="S467">
        <v>2500000</v>
      </c>
      <c r="T467" t="s">
        <v>885</v>
      </c>
      <c r="U467" t="s">
        <v>882</v>
      </c>
      <c r="V467" t="s">
        <v>884</v>
      </c>
      <c r="W467">
        <v>600</v>
      </c>
      <c r="X467" t="b">
        <v>0</v>
      </c>
    </row>
    <row r="468" spans="1:24" x14ac:dyDescent="0.25">
      <c r="A468">
        <v>467</v>
      </c>
      <c r="B468" t="s">
        <v>886</v>
      </c>
      <c r="C468">
        <v>5</v>
      </c>
      <c r="D468">
        <v>40</v>
      </c>
      <c r="E468">
        <v>50</v>
      </c>
      <c r="F468">
        <v>4</v>
      </c>
      <c r="G468" t="s">
        <v>112</v>
      </c>
      <c r="H468">
        <v>4</v>
      </c>
      <c r="I468" t="s">
        <v>112</v>
      </c>
      <c r="J468">
        <v>363</v>
      </c>
      <c r="K468">
        <v>1634</v>
      </c>
      <c r="L468">
        <v>1</v>
      </c>
      <c r="M468">
        <v>169</v>
      </c>
      <c r="N468">
        <v>761</v>
      </c>
      <c r="O468">
        <v>1</v>
      </c>
      <c r="P468">
        <v>16</v>
      </c>
      <c r="Q468">
        <v>34</v>
      </c>
      <c r="R468">
        <v>1</v>
      </c>
      <c r="S468">
        <v>4000000</v>
      </c>
      <c r="T468" t="s">
        <v>112</v>
      </c>
      <c r="U468" t="s">
        <v>887</v>
      </c>
      <c r="W468">
        <v>1687.5</v>
      </c>
      <c r="X468" t="b">
        <v>0</v>
      </c>
    </row>
    <row r="469" spans="1:24" x14ac:dyDescent="0.25">
      <c r="A469">
        <v>468</v>
      </c>
      <c r="B469" t="s">
        <v>888</v>
      </c>
      <c r="C469">
        <v>6</v>
      </c>
      <c r="D469">
        <v>50</v>
      </c>
      <c r="E469">
        <v>99</v>
      </c>
      <c r="F469">
        <v>4</v>
      </c>
      <c r="G469" t="s">
        <v>112</v>
      </c>
      <c r="H469">
        <v>4</v>
      </c>
      <c r="I469" t="s">
        <v>112</v>
      </c>
      <c r="J469">
        <v>1307</v>
      </c>
      <c r="K469">
        <v>3268</v>
      </c>
      <c r="L469">
        <v>1</v>
      </c>
      <c r="M469">
        <v>685</v>
      </c>
      <c r="N469">
        <v>1713</v>
      </c>
      <c r="O469">
        <v>1</v>
      </c>
      <c r="P469">
        <v>31</v>
      </c>
      <c r="Q469">
        <v>65</v>
      </c>
      <c r="R469">
        <v>1</v>
      </c>
      <c r="S469">
        <v>4000000</v>
      </c>
      <c r="T469" t="s">
        <v>890</v>
      </c>
      <c r="U469" t="s">
        <v>887</v>
      </c>
      <c r="V469" t="s">
        <v>889</v>
      </c>
      <c r="W469">
        <v>2100</v>
      </c>
      <c r="X469" t="b">
        <v>0</v>
      </c>
    </row>
    <row r="470" spans="1:24" x14ac:dyDescent="0.25">
      <c r="A470">
        <v>469</v>
      </c>
      <c r="B470" t="s">
        <v>891</v>
      </c>
      <c r="C470">
        <v>4</v>
      </c>
      <c r="D470">
        <v>1</v>
      </c>
      <c r="E470">
        <v>1</v>
      </c>
      <c r="F470">
        <v>0</v>
      </c>
      <c r="G470" t="s">
        <v>112</v>
      </c>
      <c r="H470">
        <v>0</v>
      </c>
      <c r="I470" t="s">
        <v>112</v>
      </c>
      <c r="J470">
        <v>100</v>
      </c>
      <c r="K470">
        <v>100</v>
      </c>
      <c r="L470">
        <v>1</v>
      </c>
      <c r="M470">
        <v>100</v>
      </c>
      <c r="N470">
        <v>100</v>
      </c>
      <c r="O470">
        <v>1</v>
      </c>
      <c r="P470">
        <v>100</v>
      </c>
      <c r="Q470">
        <v>100</v>
      </c>
      <c r="R470">
        <v>1</v>
      </c>
      <c r="S470">
        <v>1500000</v>
      </c>
      <c r="T470" t="s">
        <v>112</v>
      </c>
      <c r="U470" t="s">
        <v>727</v>
      </c>
      <c r="W470">
        <v>1000</v>
      </c>
      <c r="X470" t="b">
        <v>0</v>
      </c>
    </row>
    <row r="471" spans="1:24" x14ac:dyDescent="0.25">
      <c r="A471">
        <v>470</v>
      </c>
      <c r="B471" t="s">
        <v>892</v>
      </c>
      <c r="C471">
        <v>4</v>
      </c>
      <c r="D471">
        <v>1</v>
      </c>
      <c r="E471">
        <v>1</v>
      </c>
      <c r="F471">
        <v>1</v>
      </c>
      <c r="G471" t="s">
        <v>112</v>
      </c>
      <c r="H471">
        <v>0</v>
      </c>
      <c r="I471" t="s">
        <v>112</v>
      </c>
      <c r="J471">
        <v>100</v>
      </c>
      <c r="K471">
        <v>100</v>
      </c>
      <c r="L471">
        <v>1</v>
      </c>
      <c r="M471">
        <v>100</v>
      </c>
      <c r="N471">
        <v>100</v>
      </c>
      <c r="O471">
        <v>1</v>
      </c>
      <c r="P471">
        <v>100</v>
      </c>
      <c r="Q471">
        <v>100</v>
      </c>
      <c r="R471">
        <v>1</v>
      </c>
      <c r="S471">
        <v>1500000</v>
      </c>
      <c r="T471" t="s">
        <v>112</v>
      </c>
      <c r="U471" t="s">
        <v>732</v>
      </c>
      <c r="W471">
        <v>1000</v>
      </c>
      <c r="X471" t="b">
        <v>0</v>
      </c>
    </row>
    <row r="472" spans="1:24" x14ac:dyDescent="0.25">
      <c r="A472">
        <v>471</v>
      </c>
      <c r="B472" t="s">
        <v>893</v>
      </c>
      <c r="C472">
        <v>4</v>
      </c>
      <c r="D472">
        <v>1</v>
      </c>
      <c r="E472">
        <v>1</v>
      </c>
      <c r="F472">
        <v>2</v>
      </c>
      <c r="G472" t="s">
        <v>112</v>
      </c>
      <c r="H472">
        <v>0</v>
      </c>
      <c r="I472" t="s">
        <v>112</v>
      </c>
      <c r="J472">
        <v>100</v>
      </c>
      <c r="K472">
        <v>100</v>
      </c>
      <c r="L472">
        <v>1</v>
      </c>
      <c r="M472">
        <v>100</v>
      </c>
      <c r="N472">
        <v>100</v>
      </c>
      <c r="O472">
        <v>1</v>
      </c>
      <c r="P472">
        <v>100</v>
      </c>
      <c r="Q472">
        <v>100</v>
      </c>
      <c r="R472">
        <v>1</v>
      </c>
      <c r="S472">
        <v>1500000</v>
      </c>
      <c r="T472" t="s">
        <v>112</v>
      </c>
      <c r="U472" t="s">
        <v>736</v>
      </c>
      <c r="W472">
        <v>1000</v>
      </c>
      <c r="X472" t="b">
        <v>0</v>
      </c>
    </row>
    <row r="473" spans="1:24" x14ac:dyDescent="0.25">
      <c r="A473">
        <v>472</v>
      </c>
      <c r="B473" t="s">
        <v>894</v>
      </c>
      <c r="C473">
        <v>4</v>
      </c>
      <c r="D473">
        <v>1</v>
      </c>
      <c r="E473">
        <v>1</v>
      </c>
      <c r="F473">
        <v>3</v>
      </c>
      <c r="G473" t="s">
        <v>112</v>
      </c>
      <c r="H473">
        <v>0</v>
      </c>
      <c r="I473" t="s">
        <v>112</v>
      </c>
      <c r="J473">
        <v>100</v>
      </c>
      <c r="K473">
        <v>100</v>
      </c>
      <c r="L473">
        <v>1</v>
      </c>
      <c r="M473">
        <v>100</v>
      </c>
      <c r="N473">
        <v>100</v>
      </c>
      <c r="O473">
        <v>1</v>
      </c>
      <c r="P473">
        <v>100</v>
      </c>
      <c r="Q473">
        <v>100</v>
      </c>
      <c r="R473">
        <v>1</v>
      </c>
      <c r="S473">
        <v>1500000</v>
      </c>
      <c r="T473" t="s">
        <v>112</v>
      </c>
      <c r="U473" t="s">
        <v>740</v>
      </c>
      <c r="W473">
        <v>1000</v>
      </c>
      <c r="X473" t="b">
        <v>0</v>
      </c>
    </row>
    <row r="474" spans="1:24" x14ac:dyDescent="0.25">
      <c r="A474">
        <v>473</v>
      </c>
      <c r="B474" t="s">
        <v>895</v>
      </c>
      <c r="C474">
        <v>4</v>
      </c>
      <c r="D474">
        <v>1</v>
      </c>
      <c r="E474">
        <v>1</v>
      </c>
      <c r="F474">
        <v>4</v>
      </c>
      <c r="G474" t="s">
        <v>112</v>
      </c>
      <c r="H474">
        <v>0</v>
      </c>
      <c r="I474" t="s">
        <v>112</v>
      </c>
      <c r="J474">
        <v>100</v>
      </c>
      <c r="K474">
        <v>100</v>
      </c>
      <c r="L474">
        <v>1</v>
      </c>
      <c r="M474">
        <v>100</v>
      </c>
      <c r="N474">
        <v>100</v>
      </c>
      <c r="O474">
        <v>1</v>
      </c>
      <c r="P474">
        <v>100</v>
      </c>
      <c r="Q474">
        <v>100</v>
      </c>
      <c r="R474">
        <v>1</v>
      </c>
      <c r="S474">
        <v>1500000</v>
      </c>
      <c r="T474" t="s">
        <v>112</v>
      </c>
      <c r="U474" t="s">
        <v>744</v>
      </c>
      <c r="W474">
        <v>1000</v>
      </c>
      <c r="X474" t="b">
        <v>0</v>
      </c>
    </row>
    <row r="475" spans="1:24" x14ac:dyDescent="0.25">
      <c r="A475">
        <v>474</v>
      </c>
      <c r="B475" t="s">
        <v>896</v>
      </c>
      <c r="C475">
        <v>5</v>
      </c>
      <c r="D475">
        <v>1</v>
      </c>
      <c r="E475">
        <v>1</v>
      </c>
      <c r="F475">
        <v>4</v>
      </c>
      <c r="G475" t="s">
        <v>112</v>
      </c>
      <c r="H475">
        <v>0</v>
      </c>
      <c r="I475" t="s">
        <v>112</v>
      </c>
      <c r="J475">
        <v>300</v>
      </c>
      <c r="K475">
        <v>300</v>
      </c>
      <c r="L475">
        <v>1</v>
      </c>
      <c r="M475">
        <v>300</v>
      </c>
      <c r="N475">
        <v>300</v>
      </c>
      <c r="O475">
        <v>1</v>
      </c>
      <c r="P475">
        <v>300</v>
      </c>
      <c r="Q475">
        <v>300</v>
      </c>
      <c r="R475">
        <v>1</v>
      </c>
      <c r="S475">
        <v>1500000</v>
      </c>
      <c r="T475" t="s">
        <v>112</v>
      </c>
      <c r="U475" t="s">
        <v>511</v>
      </c>
      <c r="W475">
        <v>2000</v>
      </c>
      <c r="X475" t="b">
        <v>0</v>
      </c>
    </row>
    <row r="476" spans="1:24" x14ac:dyDescent="0.25">
      <c r="A476">
        <v>475</v>
      </c>
      <c r="B476" t="s">
        <v>897</v>
      </c>
      <c r="C476">
        <v>4</v>
      </c>
      <c r="D476">
        <v>12</v>
      </c>
      <c r="E476">
        <v>99</v>
      </c>
      <c r="F476">
        <v>0</v>
      </c>
      <c r="G476" t="s">
        <v>112</v>
      </c>
      <c r="H476">
        <v>6</v>
      </c>
      <c r="I476">
        <v>7</v>
      </c>
      <c r="J476">
        <v>473</v>
      </c>
      <c r="K476">
        <v>1014</v>
      </c>
      <c r="L476">
        <v>1</v>
      </c>
      <c r="M476">
        <v>987</v>
      </c>
      <c r="N476">
        <v>1381</v>
      </c>
      <c r="O476">
        <v>1</v>
      </c>
      <c r="P476">
        <v>148</v>
      </c>
      <c r="Q476">
        <v>276</v>
      </c>
      <c r="R476">
        <v>1</v>
      </c>
      <c r="S476">
        <v>1500000</v>
      </c>
      <c r="T476" t="s">
        <v>899</v>
      </c>
      <c r="U476" t="s">
        <v>411</v>
      </c>
      <c r="V476" t="s">
        <v>898</v>
      </c>
      <c r="W476">
        <v>600</v>
      </c>
      <c r="X476" t="b">
        <v>0</v>
      </c>
    </row>
    <row r="477" spans="1:24" x14ac:dyDescent="0.25">
      <c r="A477">
        <v>476</v>
      </c>
      <c r="B477" t="s">
        <v>900</v>
      </c>
      <c r="C477">
        <v>4</v>
      </c>
      <c r="D477">
        <v>12</v>
      </c>
      <c r="E477">
        <v>99</v>
      </c>
      <c r="F477">
        <v>1</v>
      </c>
      <c r="G477" t="s">
        <v>112</v>
      </c>
      <c r="H477">
        <v>6</v>
      </c>
      <c r="I477">
        <v>7</v>
      </c>
      <c r="J477">
        <v>480</v>
      </c>
      <c r="K477">
        <v>1036</v>
      </c>
      <c r="L477">
        <v>1</v>
      </c>
      <c r="M477">
        <v>977</v>
      </c>
      <c r="N477">
        <v>1366</v>
      </c>
      <c r="O477">
        <v>1</v>
      </c>
      <c r="P477">
        <v>152</v>
      </c>
      <c r="Q477">
        <v>284</v>
      </c>
      <c r="R477">
        <v>1</v>
      </c>
      <c r="S477">
        <v>1500000</v>
      </c>
      <c r="T477" t="s">
        <v>899</v>
      </c>
      <c r="U477" t="s">
        <v>411</v>
      </c>
      <c r="V477" t="s">
        <v>901</v>
      </c>
      <c r="W477">
        <v>600</v>
      </c>
      <c r="X477" t="b">
        <v>0</v>
      </c>
    </row>
    <row r="478" spans="1:24" x14ac:dyDescent="0.25">
      <c r="A478">
        <v>477</v>
      </c>
      <c r="B478" t="s">
        <v>902</v>
      </c>
      <c r="C478">
        <v>4</v>
      </c>
      <c r="D478">
        <v>12</v>
      </c>
      <c r="E478">
        <v>99</v>
      </c>
      <c r="F478">
        <v>2</v>
      </c>
      <c r="G478" t="s">
        <v>112</v>
      </c>
      <c r="H478">
        <v>6</v>
      </c>
      <c r="I478">
        <v>7</v>
      </c>
      <c r="J478">
        <v>468</v>
      </c>
      <c r="K478">
        <v>998</v>
      </c>
      <c r="L478">
        <v>1</v>
      </c>
      <c r="M478">
        <v>985</v>
      </c>
      <c r="N478">
        <v>1378</v>
      </c>
      <c r="O478">
        <v>1</v>
      </c>
      <c r="P478">
        <v>149</v>
      </c>
      <c r="Q478">
        <v>278</v>
      </c>
      <c r="R478">
        <v>1</v>
      </c>
      <c r="S478">
        <v>1500000</v>
      </c>
      <c r="T478" t="s">
        <v>899</v>
      </c>
      <c r="U478" t="s">
        <v>411</v>
      </c>
      <c r="V478" t="s">
        <v>903</v>
      </c>
      <c r="W478">
        <v>600</v>
      </c>
      <c r="X478" t="b">
        <v>0</v>
      </c>
    </row>
    <row r="479" spans="1:24" x14ac:dyDescent="0.25">
      <c r="A479">
        <v>478</v>
      </c>
      <c r="B479" t="s">
        <v>904</v>
      </c>
      <c r="C479">
        <v>4</v>
      </c>
      <c r="D479">
        <v>12</v>
      </c>
      <c r="E479">
        <v>99</v>
      </c>
      <c r="F479">
        <v>3</v>
      </c>
      <c r="G479" t="s">
        <v>112</v>
      </c>
      <c r="H479">
        <v>6</v>
      </c>
      <c r="I479">
        <v>7</v>
      </c>
      <c r="J479">
        <v>465</v>
      </c>
      <c r="K479">
        <v>988</v>
      </c>
      <c r="L479">
        <v>1</v>
      </c>
      <c r="M479">
        <v>966</v>
      </c>
      <c r="N479">
        <v>1349</v>
      </c>
      <c r="O479">
        <v>1</v>
      </c>
      <c r="P479">
        <v>150</v>
      </c>
      <c r="Q479">
        <v>280</v>
      </c>
      <c r="R479">
        <v>1</v>
      </c>
      <c r="S479">
        <v>1500000</v>
      </c>
      <c r="T479" t="s">
        <v>899</v>
      </c>
      <c r="U479" t="s">
        <v>411</v>
      </c>
      <c r="V479" t="s">
        <v>905</v>
      </c>
      <c r="W479">
        <v>600</v>
      </c>
      <c r="X479" t="b">
        <v>0</v>
      </c>
    </row>
    <row r="480" spans="1:24" x14ac:dyDescent="0.25">
      <c r="A480">
        <v>479</v>
      </c>
      <c r="B480" t="s">
        <v>906</v>
      </c>
      <c r="C480">
        <v>4</v>
      </c>
      <c r="D480">
        <v>12</v>
      </c>
      <c r="E480">
        <v>99</v>
      </c>
      <c r="F480">
        <v>4</v>
      </c>
      <c r="G480" t="s">
        <v>112</v>
      </c>
      <c r="H480">
        <v>6</v>
      </c>
      <c r="I480">
        <v>7</v>
      </c>
      <c r="J480">
        <v>457</v>
      </c>
      <c r="K480">
        <v>962</v>
      </c>
      <c r="L480">
        <v>1</v>
      </c>
      <c r="M480">
        <v>988</v>
      </c>
      <c r="N480">
        <v>1382</v>
      </c>
      <c r="O480">
        <v>1</v>
      </c>
      <c r="P480">
        <v>147</v>
      </c>
      <c r="Q480">
        <v>273</v>
      </c>
      <c r="R480">
        <v>1</v>
      </c>
      <c r="S480">
        <v>1500000</v>
      </c>
      <c r="T480" t="s">
        <v>899</v>
      </c>
      <c r="U480" t="s">
        <v>411</v>
      </c>
      <c r="V480" t="s">
        <v>907</v>
      </c>
      <c r="W480">
        <v>600</v>
      </c>
      <c r="X480" t="b">
        <v>0</v>
      </c>
    </row>
    <row r="481" spans="1:24" x14ac:dyDescent="0.25">
      <c r="A481">
        <v>480</v>
      </c>
      <c r="B481" t="s">
        <v>908</v>
      </c>
      <c r="C481">
        <v>6</v>
      </c>
      <c r="D481">
        <v>15</v>
      </c>
      <c r="E481">
        <v>99</v>
      </c>
      <c r="F481">
        <v>0</v>
      </c>
      <c r="G481">
        <v>0</v>
      </c>
      <c r="H481">
        <v>4</v>
      </c>
      <c r="I481" t="s">
        <v>112</v>
      </c>
      <c r="J481">
        <v>777</v>
      </c>
      <c r="K481">
        <v>2145</v>
      </c>
      <c r="L481">
        <v>1</v>
      </c>
      <c r="M481">
        <v>457</v>
      </c>
      <c r="N481">
        <v>1214</v>
      </c>
      <c r="O481">
        <v>1</v>
      </c>
      <c r="P481">
        <v>100</v>
      </c>
      <c r="Q481">
        <v>231</v>
      </c>
      <c r="R481">
        <v>1</v>
      </c>
      <c r="S481">
        <v>1500000</v>
      </c>
      <c r="T481" t="s">
        <v>909</v>
      </c>
      <c r="U481" t="s">
        <v>118</v>
      </c>
      <c r="V481" t="s">
        <v>120</v>
      </c>
      <c r="W481">
        <v>787.5</v>
      </c>
      <c r="X481" t="b">
        <v>0</v>
      </c>
    </row>
    <row r="482" spans="1:24" x14ac:dyDescent="0.25">
      <c r="A482">
        <v>481</v>
      </c>
      <c r="B482" t="s">
        <v>910</v>
      </c>
      <c r="C482">
        <v>6</v>
      </c>
      <c r="D482">
        <v>15</v>
      </c>
      <c r="E482">
        <v>99</v>
      </c>
      <c r="F482">
        <v>1</v>
      </c>
      <c r="G482">
        <v>1</v>
      </c>
      <c r="H482">
        <v>4</v>
      </c>
      <c r="I482" t="s">
        <v>112</v>
      </c>
      <c r="J482">
        <v>798</v>
      </c>
      <c r="K482">
        <v>2195</v>
      </c>
      <c r="L482">
        <v>1</v>
      </c>
      <c r="M482">
        <v>429</v>
      </c>
      <c r="N482">
        <v>1156</v>
      </c>
      <c r="O482">
        <v>1</v>
      </c>
      <c r="P482">
        <v>115</v>
      </c>
      <c r="Q482">
        <v>264</v>
      </c>
      <c r="R482">
        <v>1</v>
      </c>
      <c r="S482">
        <v>1500000</v>
      </c>
      <c r="T482" t="s">
        <v>911</v>
      </c>
      <c r="U482" t="s">
        <v>127</v>
      </c>
      <c r="V482" t="s">
        <v>120</v>
      </c>
      <c r="W482">
        <v>787.5</v>
      </c>
      <c r="X482" t="b">
        <v>0</v>
      </c>
    </row>
    <row r="483" spans="1:24" x14ac:dyDescent="0.25">
      <c r="A483">
        <v>482</v>
      </c>
      <c r="B483" t="s">
        <v>912</v>
      </c>
      <c r="C483">
        <v>6</v>
      </c>
      <c r="D483">
        <v>15</v>
      </c>
      <c r="E483">
        <v>99</v>
      </c>
      <c r="F483">
        <v>2</v>
      </c>
      <c r="G483">
        <v>2</v>
      </c>
      <c r="H483">
        <v>4</v>
      </c>
      <c r="I483" t="s">
        <v>112</v>
      </c>
      <c r="J483">
        <v>812</v>
      </c>
      <c r="K483">
        <v>2228</v>
      </c>
      <c r="L483">
        <v>1</v>
      </c>
      <c r="M483">
        <v>418</v>
      </c>
      <c r="N483">
        <v>1131</v>
      </c>
      <c r="O483">
        <v>1</v>
      </c>
      <c r="P483">
        <v>126</v>
      </c>
      <c r="Q483">
        <v>286</v>
      </c>
      <c r="R483">
        <v>1</v>
      </c>
      <c r="S483">
        <v>1500000</v>
      </c>
      <c r="T483" t="s">
        <v>913</v>
      </c>
      <c r="U483" t="s">
        <v>135</v>
      </c>
      <c r="V483" t="s">
        <v>120</v>
      </c>
      <c r="W483">
        <v>787.5</v>
      </c>
      <c r="X483" t="b">
        <v>0</v>
      </c>
    </row>
    <row r="484" spans="1:24" x14ac:dyDescent="0.25">
      <c r="A484">
        <v>483</v>
      </c>
      <c r="B484" t="s">
        <v>914</v>
      </c>
      <c r="C484">
        <v>6</v>
      </c>
      <c r="D484">
        <v>15</v>
      </c>
      <c r="E484">
        <v>99</v>
      </c>
      <c r="F484">
        <v>3</v>
      </c>
      <c r="G484">
        <v>3</v>
      </c>
      <c r="H484">
        <v>4</v>
      </c>
      <c r="I484" t="s">
        <v>112</v>
      </c>
      <c r="J484">
        <v>742</v>
      </c>
      <c r="K484">
        <v>2063</v>
      </c>
      <c r="L484">
        <v>1</v>
      </c>
      <c r="M484">
        <v>437</v>
      </c>
      <c r="N484">
        <v>1173</v>
      </c>
      <c r="O484">
        <v>1</v>
      </c>
      <c r="P484">
        <v>105</v>
      </c>
      <c r="Q484">
        <v>253</v>
      </c>
      <c r="R484">
        <v>1</v>
      </c>
      <c r="S484">
        <v>1500000</v>
      </c>
      <c r="T484" t="s">
        <v>915</v>
      </c>
      <c r="U484" t="s">
        <v>143</v>
      </c>
      <c r="V484" t="s">
        <v>120</v>
      </c>
      <c r="W484">
        <v>787.5</v>
      </c>
      <c r="X484" t="b">
        <v>0</v>
      </c>
    </row>
    <row r="485" spans="1:24" x14ac:dyDescent="0.25">
      <c r="A485">
        <v>484</v>
      </c>
      <c r="B485" t="s">
        <v>916</v>
      </c>
      <c r="C485">
        <v>6</v>
      </c>
      <c r="D485">
        <v>15</v>
      </c>
      <c r="E485">
        <v>99</v>
      </c>
      <c r="F485">
        <v>4</v>
      </c>
      <c r="G485">
        <v>4</v>
      </c>
      <c r="H485">
        <v>4</v>
      </c>
      <c r="I485" t="s">
        <v>112</v>
      </c>
      <c r="J485">
        <v>763</v>
      </c>
      <c r="K485">
        <v>2112</v>
      </c>
      <c r="L485">
        <v>1</v>
      </c>
      <c r="M485">
        <v>449</v>
      </c>
      <c r="N485">
        <v>1197</v>
      </c>
      <c r="O485">
        <v>1</v>
      </c>
      <c r="P485">
        <v>95</v>
      </c>
      <c r="Q485">
        <v>220</v>
      </c>
      <c r="R485">
        <v>1</v>
      </c>
      <c r="S485">
        <v>1500000</v>
      </c>
      <c r="T485" t="s">
        <v>917</v>
      </c>
      <c r="U485" t="s">
        <v>151</v>
      </c>
      <c r="V485" t="s">
        <v>120</v>
      </c>
      <c r="W485">
        <v>787.5</v>
      </c>
      <c r="X485" t="b">
        <v>0</v>
      </c>
    </row>
    <row r="486" spans="1:24" x14ac:dyDescent="0.25">
      <c r="A486">
        <v>485</v>
      </c>
      <c r="B486" t="s">
        <v>1850</v>
      </c>
      <c r="C486">
        <v>6</v>
      </c>
      <c r="D486">
        <v>1</v>
      </c>
      <c r="E486">
        <v>1</v>
      </c>
      <c r="F486">
        <v>3</v>
      </c>
      <c r="G486">
        <v>4</v>
      </c>
      <c r="H486">
        <v>14</v>
      </c>
      <c r="I486" t="s">
        <v>112</v>
      </c>
      <c r="J486">
        <v>832</v>
      </c>
      <c r="K486">
        <v>832</v>
      </c>
      <c r="L486">
        <v>1</v>
      </c>
      <c r="M486">
        <v>832</v>
      </c>
      <c r="N486">
        <v>832</v>
      </c>
      <c r="O486">
        <v>1</v>
      </c>
      <c r="P486">
        <v>832</v>
      </c>
      <c r="Q486">
        <v>832</v>
      </c>
      <c r="R486">
        <v>1</v>
      </c>
      <c r="S486">
        <v>1500000</v>
      </c>
      <c r="T486" t="s">
        <v>1836</v>
      </c>
      <c r="U486" t="s">
        <v>1851</v>
      </c>
      <c r="W486">
        <v>83200</v>
      </c>
      <c r="X486" t="b">
        <v>1</v>
      </c>
    </row>
    <row r="487" spans="1:24" x14ac:dyDescent="0.25">
      <c r="A487">
        <v>486</v>
      </c>
      <c r="B487" t="s">
        <v>918</v>
      </c>
      <c r="C487">
        <v>4</v>
      </c>
      <c r="D487">
        <v>7</v>
      </c>
      <c r="E487">
        <v>35</v>
      </c>
      <c r="F487">
        <v>4</v>
      </c>
      <c r="G487" t="s">
        <v>112</v>
      </c>
      <c r="H487">
        <v>6</v>
      </c>
      <c r="I487" t="s">
        <v>112</v>
      </c>
      <c r="J487">
        <v>142</v>
      </c>
      <c r="K487">
        <v>625</v>
      </c>
      <c r="L487">
        <v>1</v>
      </c>
      <c r="M487">
        <v>255</v>
      </c>
      <c r="N487">
        <v>897</v>
      </c>
      <c r="O487">
        <v>1</v>
      </c>
      <c r="P487">
        <v>93</v>
      </c>
      <c r="Q487">
        <v>194</v>
      </c>
      <c r="R487">
        <v>1</v>
      </c>
      <c r="S487">
        <v>2000000</v>
      </c>
      <c r="T487" t="s">
        <v>112</v>
      </c>
      <c r="U487" t="s">
        <v>919</v>
      </c>
      <c r="W487">
        <v>412.5</v>
      </c>
      <c r="X487" t="b">
        <v>0</v>
      </c>
    </row>
    <row r="488" spans="1:24" x14ac:dyDescent="0.25">
      <c r="A488">
        <v>487</v>
      </c>
      <c r="B488" t="s">
        <v>920</v>
      </c>
      <c r="C488">
        <v>5</v>
      </c>
      <c r="D488">
        <v>17</v>
      </c>
      <c r="E488">
        <v>99</v>
      </c>
      <c r="F488">
        <v>4</v>
      </c>
      <c r="G488" t="s">
        <v>112</v>
      </c>
      <c r="H488">
        <v>6</v>
      </c>
      <c r="I488" t="s">
        <v>112</v>
      </c>
      <c r="J488">
        <v>563</v>
      </c>
      <c r="K488">
        <v>1589</v>
      </c>
      <c r="L488">
        <v>1</v>
      </c>
      <c r="M488">
        <v>987</v>
      </c>
      <c r="N488">
        <v>1283</v>
      </c>
      <c r="O488">
        <v>1</v>
      </c>
      <c r="P488">
        <v>148</v>
      </c>
      <c r="Q488">
        <v>370</v>
      </c>
      <c r="R488">
        <v>1</v>
      </c>
      <c r="S488">
        <v>2000000</v>
      </c>
      <c r="T488" t="s">
        <v>921</v>
      </c>
      <c r="U488" t="s">
        <v>919</v>
      </c>
      <c r="W488">
        <v>825</v>
      </c>
      <c r="X488" t="b">
        <v>0</v>
      </c>
    </row>
    <row r="489" spans="1:24" x14ac:dyDescent="0.25">
      <c r="A489">
        <v>488</v>
      </c>
      <c r="B489" t="s">
        <v>922</v>
      </c>
      <c r="C489">
        <v>4</v>
      </c>
      <c r="D489">
        <v>8</v>
      </c>
      <c r="E489">
        <v>35</v>
      </c>
      <c r="F489">
        <v>1</v>
      </c>
      <c r="G489" t="s">
        <v>112</v>
      </c>
      <c r="H489">
        <v>2</v>
      </c>
      <c r="I489" t="s">
        <v>112</v>
      </c>
      <c r="J489">
        <v>328</v>
      </c>
      <c r="K489">
        <v>1148</v>
      </c>
      <c r="L489">
        <v>1</v>
      </c>
      <c r="M489">
        <v>40</v>
      </c>
      <c r="N489">
        <v>160</v>
      </c>
      <c r="O489">
        <v>1</v>
      </c>
      <c r="P489">
        <v>69</v>
      </c>
      <c r="Q489">
        <v>152</v>
      </c>
      <c r="R489">
        <v>1</v>
      </c>
      <c r="S489">
        <v>2000000</v>
      </c>
      <c r="T489" t="s">
        <v>112</v>
      </c>
      <c r="U489" t="s">
        <v>923</v>
      </c>
      <c r="W489">
        <v>450</v>
      </c>
      <c r="X489" t="b">
        <v>0</v>
      </c>
    </row>
    <row r="490" spans="1:24" x14ac:dyDescent="0.25">
      <c r="A490">
        <v>489</v>
      </c>
      <c r="B490" t="s">
        <v>924</v>
      </c>
      <c r="C490">
        <v>5</v>
      </c>
      <c r="D490">
        <v>18</v>
      </c>
      <c r="E490">
        <v>99</v>
      </c>
      <c r="F490">
        <v>1</v>
      </c>
      <c r="G490">
        <v>2</v>
      </c>
      <c r="H490">
        <v>2</v>
      </c>
      <c r="I490" t="s">
        <v>112</v>
      </c>
      <c r="J490">
        <v>1033</v>
      </c>
      <c r="K490">
        <v>3616</v>
      </c>
      <c r="L490">
        <v>1</v>
      </c>
      <c r="M490">
        <v>144</v>
      </c>
      <c r="N490">
        <v>852</v>
      </c>
      <c r="O490">
        <v>1.5</v>
      </c>
      <c r="P490">
        <v>137</v>
      </c>
      <c r="Q490">
        <v>301</v>
      </c>
      <c r="R490">
        <v>1.5</v>
      </c>
      <c r="S490">
        <v>2000000</v>
      </c>
      <c r="T490" t="s">
        <v>925</v>
      </c>
      <c r="U490" t="s">
        <v>923</v>
      </c>
      <c r="W490">
        <v>862.5</v>
      </c>
      <c r="X490" t="b">
        <v>0</v>
      </c>
    </row>
    <row r="491" spans="1:24" x14ac:dyDescent="0.25">
      <c r="A491">
        <v>490</v>
      </c>
      <c r="B491" t="s">
        <v>926</v>
      </c>
      <c r="C491">
        <v>5</v>
      </c>
      <c r="D491">
        <v>20</v>
      </c>
      <c r="E491">
        <v>50</v>
      </c>
      <c r="F491">
        <v>0</v>
      </c>
      <c r="G491" t="s">
        <v>112</v>
      </c>
      <c r="H491">
        <v>5</v>
      </c>
      <c r="I491" t="s">
        <v>112</v>
      </c>
      <c r="J491">
        <v>626</v>
      </c>
      <c r="K491">
        <v>1502</v>
      </c>
      <c r="L491">
        <v>1</v>
      </c>
      <c r="M491">
        <v>416</v>
      </c>
      <c r="N491">
        <v>832</v>
      </c>
      <c r="O491">
        <v>1</v>
      </c>
      <c r="P491">
        <v>201</v>
      </c>
      <c r="Q491">
        <v>422</v>
      </c>
      <c r="R491">
        <v>1</v>
      </c>
      <c r="S491">
        <v>4000000</v>
      </c>
      <c r="T491" t="s">
        <v>927</v>
      </c>
      <c r="U491" t="s">
        <v>760</v>
      </c>
      <c r="W491">
        <v>937.5</v>
      </c>
      <c r="X491" t="b">
        <v>0</v>
      </c>
    </row>
    <row r="492" spans="1:24" x14ac:dyDescent="0.25">
      <c r="A492">
        <v>491</v>
      </c>
      <c r="B492" t="s">
        <v>2201</v>
      </c>
      <c r="C492">
        <v>6</v>
      </c>
      <c r="D492">
        <v>25</v>
      </c>
      <c r="E492">
        <v>99</v>
      </c>
      <c r="F492">
        <v>0</v>
      </c>
      <c r="G492" t="s">
        <v>112</v>
      </c>
      <c r="H492">
        <v>5</v>
      </c>
      <c r="I492" t="s">
        <v>112</v>
      </c>
      <c r="J492">
        <v>1202</v>
      </c>
      <c r="K492">
        <v>3005</v>
      </c>
      <c r="L492">
        <v>1</v>
      </c>
      <c r="M492">
        <v>749</v>
      </c>
      <c r="N492">
        <v>1124</v>
      </c>
      <c r="O492">
        <v>1</v>
      </c>
      <c r="P492">
        <v>380</v>
      </c>
      <c r="Q492">
        <v>570</v>
      </c>
      <c r="R492">
        <v>1</v>
      </c>
      <c r="S492">
        <v>4000000</v>
      </c>
      <c r="T492" t="s">
        <v>927</v>
      </c>
      <c r="U492" t="s">
        <v>760</v>
      </c>
      <c r="V492" t="s">
        <v>2202</v>
      </c>
      <c r="W492">
        <v>1162.5</v>
      </c>
      <c r="X492" t="b">
        <v>0</v>
      </c>
    </row>
    <row r="493" spans="1:24" x14ac:dyDescent="0.25">
      <c r="A493">
        <v>492</v>
      </c>
      <c r="B493" t="s">
        <v>929</v>
      </c>
      <c r="C493">
        <v>5</v>
      </c>
      <c r="D493">
        <v>20</v>
      </c>
      <c r="E493">
        <v>50</v>
      </c>
      <c r="F493">
        <v>1</v>
      </c>
      <c r="G493" t="s">
        <v>112</v>
      </c>
      <c r="H493">
        <v>5</v>
      </c>
      <c r="I493" t="s">
        <v>112</v>
      </c>
      <c r="J493">
        <v>633</v>
      </c>
      <c r="K493">
        <v>1519</v>
      </c>
      <c r="L493">
        <v>1</v>
      </c>
      <c r="M493">
        <v>406</v>
      </c>
      <c r="N493">
        <v>812</v>
      </c>
      <c r="O493">
        <v>1</v>
      </c>
      <c r="P493">
        <v>213</v>
      </c>
      <c r="Q493">
        <v>447</v>
      </c>
      <c r="R493">
        <v>1</v>
      </c>
      <c r="S493">
        <v>4000000</v>
      </c>
      <c r="T493" t="s">
        <v>930</v>
      </c>
      <c r="U493" t="s">
        <v>931</v>
      </c>
      <c r="W493">
        <v>937.5</v>
      </c>
      <c r="X493" t="b">
        <v>0</v>
      </c>
    </row>
    <row r="494" spans="1:24" x14ac:dyDescent="0.25">
      <c r="A494">
        <v>493</v>
      </c>
      <c r="B494" t="s">
        <v>2203</v>
      </c>
      <c r="C494">
        <v>6</v>
      </c>
      <c r="D494">
        <v>25</v>
      </c>
      <c r="E494">
        <v>99</v>
      </c>
      <c r="F494">
        <v>1</v>
      </c>
      <c r="G494" t="s">
        <v>112</v>
      </c>
      <c r="H494">
        <v>5</v>
      </c>
      <c r="I494" t="s">
        <v>112</v>
      </c>
      <c r="J494">
        <v>1215</v>
      </c>
      <c r="K494">
        <v>3038</v>
      </c>
      <c r="L494">
        <v>1</v>
      </c>
      <c r="M494">
        <v>731</v>
      </c>
      <c r="N494">
        <v>1097</v>
      </c>
      <c r="O494">
        <v>1</v>
      </c>
      <c r="P494">
        <v>402</v>
      </c>
      <c r="Q494">
        <v>603</v>
      </c>
      <c r="R494">
        <v>1</v>
      </c>
      <c r="S494">
        <v>4000000</v>
      </c>
      <c r="T494" t="s">
        <v>930</v>
      </c>
      <c r="U494" t="s">
        <v>931</v>
      </c>
      <c r="V494" t="s">
        <v>2204</v>
      </c>
      <c r="W494">
        <v>1162.5</v>
      </c>
      <c r="X494" t="b">
        <v>0</v>
      </c>
    </row>
    <row r="495" spans="1:24" x14ac:dyDescent="0.25">
      <c r="A495">
        <v>494</v>
      </c>
      <c r="B495" t="s">
        <v>83</v>
      </c>
      <c r="C495">
        <v>5</v>
      </c>
      <c r="D495">
        <v>20</v>
      </c>
      <c r="E495">
        <v>50</v>
      </c>
      <c r="F495">
        <v>2</v>
      </c>
      <c r="G495" t="s">
        <v>112</v>
      </c>
      <c r="H495">
        <v>5</v>
      </c>
      <c r="I495" t="s">
        <v>112</v>
      </c>
      <c r="J495">
        <v>627</v>
      </c>
      <c r="K495">
        <v>1505</v>
      </c>
      <c r="L495">
        <v>1</v>
      </c>
      <c r="M495">
        <v>410</v>
      </c>
      <c r="N495">
        <v>820</v>
      </c>
      <c r="O495">
        <v>1</v>
      </c>
      <c r="P495">
        <v>206</v>
      </c>
      <c r="Q495">
        <v>433</v>
      </c>
      <c r="R495">
        <v>1</v>
      </c>
      <c r="S495">
        <v>4000000</v>
      </c>
      <c r="T495" t="s">
        <v>932</v>
      </c>
      <c r="U495" t="s">
        <v>933</v>
      </c>
      <c r="W495">
        <v>937.5</v>
      </c>
      <c r="X495" t="b">
        <v>0</v>
      </c>
    </row>
    <row r="496" spans="1:24" x14ac:dyDescent="0.25">
      <c r="A496">
        <v>495</v>
      </c>
      <c r="B496" t="s">
        <v>2205</v>
      </c>
      <c r="C496">
        <v>6</v>
      </c>
      <c r="D496">
        <v>25</v>
      </c>
      <c r="E496">
        <v>99</v>
      </c>
      <c r="F496">
        <v>2</v>
      </c>
      <c r="G496" t="s">
        <v>112</v>
      </c>
      <c r="H496">
        <v>5</v>
      </c>
      <c r="I496" t="s">
        <v>112</v>
      </c>
      <c r="J496">
        <v>1204</v>
      </c>
      <c r="K496">
        <v>3010</v>
      </c>
      <c r="L496">
        <v>1</v>
      </c>
      <c r="M496">
        <v>738</v>
      </c>
      <c r="N496">
        <v>1107</v>
      </c>
      <c r="O496">
        <v>1</v>
      </c>
      <c r="P496">
        <v>390</v>
      </c>
      <c r="Q496">
        <v>585</v>
      </c>
      <c r="R496">
        <v>1</v>
      </c>
      <c r="S496">
        <v>4000000</v>
      </c>
      <c r="T496" t="s">
        <v>932</v>
      </c>
      <c r="U496" t="s">
        <v>933</v>
      </c>
      <c r="V496" t="s">
        <v>2206</v>
      </c>
      <c r="W496">
        <v>1162.5</v>
      </c>
      <c r="X496" t="b">
        <v>0</v>
      </c>
    </row>
    <row r="497" spans="1:24" x14ac:dyDescent="0.25">
      <c r="A497">
        <v>496</v>
      </c>
      <c r="B497" t="s">
        <v>934</v>
      </c>
      <c r="C497">
        <v>5</v>
      </c>
      <c r="D497">
        <v>20</v>
      </c>
      <c r="E497">
        <v>50</v>
      </c>
      <c r="F497">
        <v>3</v>
      </c>
      <c r="G497" t="s">
        <v>112</v>
      </c>
      <c r="H497">
        <v>5</v>
      </c>
      <c r="I497" t="s">
        <v>112</v>
      </c>
      <c r="J497">
        <v>616</v>
      </c>
      <c r="K497">
        <v>1478</v>
      </c>
      <c r="L497">
        <v>1</v>
      </c>
      <c r="M497">
        <v>400</v>
      </c>
      <c r="N497">
        <v>800</v>
      </c>
      <c r="O497">
        <v>1</v>
      </c>
      <c r="P497">
        <v>210</v>
      </c>
      <c r="Q497">
        <v>441</v>
      </c>
      <c r="R497">
        <v>1</v>
      </c>
      <c r="S497">
        <v>4000000</v>
      </c>
      <c r="T497" t="s">
        <v>935</v>
      </c>
      <c r="U497" t="s">
        <v>936</v>
      </c>
      <c r="W497">
        <v>937.5</v>
      </c>
      <c r="X497" t="b">
        <v>0</v>
      </c>
    </row>
    <row r="498" spans="1:24" x14ac:dyDescent="0.25">
      <c r="A498">
        <v>497</v>
      </c>
      <c r="B498" t="s">
        <v>937</v>
      </c>
      <c r="C498">
        <v>6</v>
      </c>
      <c r="D498">
        <v>25</v>
      </c>
      <c r="E498">
        <v>99</v>
      </c>
      <c r="F498">
        <v>3</v>
      </c>
      <c r="G498" t="s">
        <v>112</v>
      </c>
      <c r="H498">
        <v>5</v>
      </c>
      <c r="I498" t="s">
        <v>112</v>
      </c>
      <c r="J498">
        <v>1182</v>
      </c>
      <c r="K498">
        <v>2955</v>
      </c>
      <c r="L498">
        <v>1</v>
      </c>
      <c r="M498">
        <v>720</v>
      </c>
      <c r="N498">
        <v>1080</v>
      </c>
      <c r="O498">
        <v>1</v>
      </c>
      <c r="P498">
        <v>397</v>
      </c>
      <c r="Q498">
        <v>596</v>
      </c>
      <c r="R498">
        <v>1</v>
      </c>
      <c r="S498">
        <v>4000000</v>
      </c>
      <c r="T498" t="s">
        <v>935</v>
      </c>
      <c r="U498" t="s">
        <v>936</v>
      </c>
      <c r="V498" t="s">
        <v>2207</v>
      </c>
      <c r="W498">
        <v>1162.5</v>
      </c>
      <c r="X498" t="b">
        <v>0</v>
      </c>
    </row>
    <row r="499" spans="1:24" x14ac:dyDescent="0.25">
      <c r="A499">
        <v>498</v>
      </c>
      <c r="B499" t="s">
        <v>938</v>
      </c>
      <c r="C499">
        <v>5</v>
      </c>
      <c r="D499">
        <v>20</v>
      </c>
      <c r="E499">
        <v>50</v>
      </c>
      <c r="F499">
        <v>4</v>
      </c>
      <c r="G499" t="s">
        <v>112</v>
      </c>
      <c r="H499">
        <v>5</v>
      </c>
      <c r="I499" t="s">
        <v>112</v>
      </c>
      <c r="J499">
        <v>614</v>
      </c>
      <c r="K499">
        <v>1474</v>
      </c>
      <c r="L499">
        <v>1</v>
      </c>
      <c r="M499">
        <v>407</v>
      </c>
      <c r="N499">
        <v>814</v>
      </c>
      <c r="O499">
        <v>1</v>
      </c>
      <c r="P499">
        <v>207</v>
      </c>
      <c r="Q499">
        <v>435</v>
      </c>
      <c r="R499">
        <v>1</v>
      </c>
      <c r="S499">
        <v>4000000</v>
      </c>
      <c r="T499" t="s">
        <v>939</v>
      </c>
      <c r="U499" t="s">
        <v>940</v>
      </c>
      <c r="W499">
        <v>937.5</v>
      </c>
      <c r="X499" t="b">
        <v>0</v>
      </c>
    </row>
    <row r="500" spans="1:24" x14ac:dyDescent="0.25">
      <c r="A500">
        <v>499</v>
      </c>
      <c r="B500" t="s">
        <v>2208</v>
      </c>
      <c r="C500">
        <v>6</v>
      </c>
      <c r="D500">
        <v>25</v>
      </c>
      <c r="E500">
        <v>99</v>
      </c>
      <c r="F500">
        <v>4</v>
      </c>
      <c r="G500" t="s">
        <v>112</v>
      </c>
      <c r="H500">
        <v>5</v>
      </c>
      <c r="I500" t="s">
        <v>112</v>
      </c>
      <c r="J500">
        <v>1179</v>
      </c>
      <c r="K500">
        <v>2948</v>
      </c>
      <c r="L500">
        <v>1</v>
      </c>
      <c r="M500">
        <v>733</v>
      </c>
      <c r="N500">
        <v>1100</v>
      </c>
      <c r="O500">
        <v>1</v>
      </c>
      <c r="P500">
        <v>392</v>
      </c>
      <c r="Q500">
        <v>588</v>
      </c>
      <c r="R500">
        <v>1</v>
      </c>
      <c r="S500">
        <v>4000000</v>
      </c>
      <c r="T500" t="s">
        <v>939</v>
      </c>
      <c r="U500" t="s">
        <v>940</v>
      </c>
      <c r="V500" t="s">
        <v>2209</v>
      </c>
      <c r="W500">
        <v>1162.5</v>
      </c>
      <c r="X500" t="b">
        <v>0</v>
      </c>
    </row>
    <row r="501" spans="1:24" x14ac:dyDescent="0.25">
      <c r="A501">
        <v>500</v>
      </c>
      <c r="B501" t="s">
        <v>941</v>
      </c>
      <c r="C501">
        <v>4</v>
      </c>
      <c r="D501">
        <v>15</v>
      </c>
      <c r="E501">
        <v>50</v>
      </c>
      <c r="F501">
        <v>3</v>
      </c>
      <c r="G501" t="s">
        <v>112</v>
      </c>
      <c r="H501">
        <v>1</v>
      </c>
      <c r="I501" t="s">
        <v>112</v>
      </c>
      <c r="J501">
        <v>283</v>
      </c>
      <c r="K501">
        <v>906</v>
      </c>
      <c r="L501">
        <v>1</v>
      </c>
      <c r="M501">
        <v>142</v>
      </c>
      <c r="N501">
        <v>454</v>
      </c>
      <c r="O501">
        <v>1</v>
      </c>
      <c r="P501">
        <v>148</v>
      </c>
      <c r="Q501">
        <v>311</v>
      </c>
      <c r="R501">
        <v>1</v>
      </c>
      <c r="S501">
        <v>3000000</v>
      </c>
      <c r="T501" t="s">
        <v>942</v>
      </c>
      <c r="U501" t="s">
        <v>943</v>
      </c>
      <c r="W501">
        <v>712.5</v>
      </c>
      <c r="X501" t="b">
        <v>0</v>
      </c>
    </row>
    <row r="502" spans="1:24" x14ac:dyDescent="0.25">
      <c r="A502">
        <v>501</v>
      </c>
      <c r="B502" t="s">
        <v>944</v>
      </c>
      <c r="C502">
        <v>5</v>
      </c>
      <c r="D502">
        <v>20</v>
      </c>
      <c r="E502">
        <v>99</v>
      </c>
      <c r="F502">
        <v>3</v>
      </c>
      <c r="G502" t="s">
        <v>112</v>
      </c>
      <c r="H502">
        <v>1</v>
      </c>
      <c r="I502" t="s">
        <v>112</v>
      </c>
      <c r="J502">
        <v>815</v>
      </c>
      <c r="K502">
        <v>2201</v>
      </c>
      <c r="L502">
        <v>1</v>
      </c>
      <c r="M502">
        <v>409</v>
      </c>
      <c r="N502">
        <v>1023</v>
      </c>
      <c r="O502">
        <v>1</v>
      </c>
      <c r="P502">
        <v>280</v>
      </c>
      <c r="Q502">
        <v>420</v>
      </c>
      <c r="R502">
        <v>1</v>
      </c>
      <c r="S502">
        <v>3000000</v>
      </c>
      <c r="T502" t="s">
        <v>945</v>
      </c>
      <c r="U502" t="s">
        <v>943</v>
      </c>
      <c r="V502" t="s">
        <v>2210</v>
      </c>
      <c r="W502">
        <v>937.5</v>
      </c>
      <c r="X502" t="b">
        <v>0</v>
      </c>
    </row>
    <row r="503" spans="1:24" x14ac:dyDescent="0.25">
      <c r="A503">
        <v>502</v>
      </c>
      <c r="B503" t="s">
        <v>946</v>
      </c>
      <c r="C503">
        <v>4</v>
      </c>
      <c r="D503">
        <v>15</v>
      </c>
      <c r="E503">
        <v>35</v>
      </c>
      <c r="F503">
        <v>0</v>
      </c>
      <c r="G503" t="s">
        <v>112</v>
      </c>
      <c r="H503">
        <v>1</v>
      </c>
      <c r="I503" t="s">
        <v>112</v>
      </c>
      <c r="J503">
        <v>345</v>
      </c>
      <c r="K503">
        <v>1104</v>
      </c>
      <c r="L503">
        <v>1</v>
      </c>
      <c r="M503">
        <v>159</v>
      </c>
      <c r="N503">
        <v>509</v>
      </c>
      <c r="O503">
        <v>1</v>
      </c>
      <c r="P503">
        <v>74</v>
      </c>
      <c r="Q503">
        <v>155</v>
      </c>
      <c r="R503">
        <v>1</v>
      </c>
      <c r="S503">
        <v>3000000</v>
      </c>
      <c r="T503" t="s">
        <v>112</v>
      </c>
      <c r="U503" t="s">
        <v>118</v>
      </c>
      <c r="W503">
        <v>712.5</v>
      </c>
      <c r="X503" t="b">
        <v>0</v>
      </c>
    </row>
    <row r="504" spans="1:24" x14ac:dyDescent="0.25">
      <c r="A504">
        <v>503</v>
      </c>
      <c r="B504" t="s">
        <v>947</v>
      </c>
      <c r="C504">
        <v>5</v>
      </c>
      <c r="D504">
        <v>20</v>
      </c>
      <c r="E504">
        <v>99</v>
      </c>
      <c r="F504">
        <v>0</v>
      </c>
      <c r="G504" t="s">
        <v>112</v>
      </c>
      <c r="H504">
        <v>1</v>
      </c>
      <c r="I504" t="s">
        <v>112</v>
      </c>
      <c r="J504">
        <v>994</v>
      </c>
      <c r="K504">
        <v>2684</v>
      </c>
      <c r="L504">
        <v>1</v>
      </c>
      <c r="M504">
        <v>458</v>
      </c>
      <c r="N504">
        <v>1145</v>
      </c>
      <c r="O504">
        <v>1</v>
      </c>
      <c r="P504">
        <v>140</v>
      </c>
      <c r="Q504">
        <v>210</v>
      </c>
      <c r="R504">
        <v>1</v>
      </c>
      <c r="S504">
        <v>3000000</v>
      </c>
      <c r="T504" t="s">
        <v>948</v>
      </c>
      <c r="U504" t="s">
        <v>780</v>
      </c>
      <c r="V504" t="s">
        <v>350</v>
      </c>
      <c r="W504">
        <v>937.5</v>
      </c>
      <c r="X504" t="b">
        <v>0</v>
      </c>
    </row>
    <row r="505" spans="1:24" x14ac:dyDescent="0.25">
      <c r="A505">
        <v>504</v>
      </c>
      <c r="B505" t="s">
        <v>949</v>
      </c>
      <c r="C505">
        <v>3</v>
      </c>
      <c r="D505">
        <v>5</v>
      </c>
      <c r="E505">
        <v>25</v>
      </c>
      <c r="F505">
        <v>1</v>
      </c>
      <c r="G505" t="s">
        <v>112</v>
      </c>
      <c r="H505">
        <v>1</v>
      </c>
      <c r="I505" t="s">
        <v>112</v>
      </c>
      <c r="J505">
        <v>183</v>
      </c>
      <c r="K505">
        <v>586</v>
      </c>
      <c r="L505">
        <v>1</v>
      </c>
      <c r="M505">
        <v>111</v>
      </c>
      <c r="N505">
        <v>355</v>
      </c>
      <c r="O505">
        <v>1</v>
      </c>
      <c r="P505">
        <v>125</v>
      </c>
      <c r="Q505">
        <v>263</v>
      </c>
      <c r="R505">
        <v>1</v>
      </c>
      <c r="S505">
        <v>1500000</v>
      </c>
      <c r="T505" t="s">
        <v>112</v>
      </c>
      <c r="U505" t="s">
        <v>127</v>
      </c>
      <c r="W505">
        <v>300</v>
      </c>
      <c r="X505" t="b">
        <v>0</v>
      </c>
    </row>
    <row r="506" spans="1:24" x14ac:dyDescent="0.25">
      <c r="A506">
        <v>505</v>
      </c>
      <c r="B506" t="s">
        <v>950</v>
      </c>
      <c r="C506">
        <v>4</v>
      </c>
      <c r="D506">
        <v>10</v>
      </c>
      <c r="E506">
        <v>70</v>
      </c>
      <c r="F506">
        <v>1</v>
      </c>
      <c r="G506" t="s">
        <v>112</v>
      </c>
      <c r="H506">
        <v>1</v>
      </c>
      <c r="I506" t="s">
        <v>112</v>
      </c>
      <c r="J506">
        <v>527</v>
      </c>
      <c r="K506">
        <v>1423</v>
      </c>
      <c r="L506">
        <v>1</v>
      </c>
      <c r="M506">
        <v>320</v>
      </c>
      <c r="N506">
        <v>800</v>
      </c>
      <c r="O506">
        <v>1</v>
      </c>
      <c r="P506">
        <v>237</v>
      </c>
      <c r="Q506">
        <v>356</v>
      </c>
      <c r="R506">
        <v>1</v>
      </c>
      <c r="S506">
        <v>1500000</v>
      </c>
      <c r="T506" t="s">
        <v>951</v>
      </c>
      <c r="U506" t="s">
        <v>782</v>
      </c>
      <c r="V506" t="s">
        <v>2211</v>
      </c>
      <c r="W506">
        <v>525</v>
      </c>
      <c r="X506" t="b">
        <v>0</v>
      </c>
    </row>
    <row r="507" spans="1:24" x14ac:dyDescent="0.25">
      <c r="A507">
        <v>506</v>
      </c>
      <c r="B507" t="s">
        <v>952</v>
      </c>
      <c r="C507">
        <v>3</v>
      </c>
      <c r="D507">
        <v>5</v>
      </c>
      <c r="E507">
        <v>25</v>
      </c>
      <c r="F507">
        <v>2</v>
      </c>
      <c r="G507" t="s">
        <v>112</v>
      </c>
      <c r="H507">
        <v>1</v>
      </c>
      <c r="I507" t="s">
        <v>112</v>
      </c>
      <c r="J507">
        <v>188</v>
      </c>
      <c r="K507">
        <v>602</v>
      </c>
      <c r="L507">
        <v>1</v>
      </c>
      <c r="M507">
        <v>134</v>
      </c>
      <c r="N507">
        <v>429</v>
      </c>
      <c r="O507">
        <v>1</v>
      </c>
      <c r="P507">
        <v>100</v>
      </c>
      <c r="Q507">
        <v>210</v>
      </c>
      <c r="R507">
        <v>1</v>
      </c>
      <c r="S507">
        <v>1500000</v>
      </c>
      <c r="T507" t="s">
        <v>112</v>
      </c>
      <c r="U507" t="s">
        <v>135</v>
      </c>
      <c r="W507">
        <v>300</v>
      </c>
      <c r="X507" t="b">
        <v>0</v>
      </c>
    </row>
    <row r="508" spans="1:24" x14ac:dyDescent="0.25">
      <c r="A508">
        <v>507</v>
      </c>
      <c r="B508" t="s">
        <v>953</v>
      </c>
      <c r="C508">
        <v>4</v>
      </c>
      <c r="D508">
        <v>10</v>
      </c>
      <c r="E508">
        <v>70</v>
      </c>
      <c r="F508">
        <v>2</v>
      </c>
      <c r="G508" t="s">
        <v>112</v>
      </c>
      <c r="H508">
        <v>1</v>
      </c>
      <c r="I508" t="s">
        <v>112</v>
      </c>
      <c r="J508">
        <v>542</v>
      </c>
      <c r="K508">
        <v>1463</v>
      </c>
      <c r="L508">
        <v>1</v>
      </c>
      <c r="M508">
        <v>386</v>
      </c>
      <c r="N508">
        <v>965</v>
      </c>
      <c r="O508">
        <v>1</v>
      </c>
      <c r="P508">
        <v>189</v>
      </c>
      <c r="Q508">
        <v>284</v>
      </c>
      <c r="R508">
        <v>1</v>
      </c>
      <c r="S508">
        <v>1500000</v>
      </c>
      <c r="T508" t="s">
        <v>954</v>
      </c>
      <c r="U508" t="s">
        <v>784</v>
      </c>
      <c r="V508" t="s">
        <v>2212</v>
      </c>
      <c r="W508">
        <v>525</v>
      </c>
      <c r="X508" t="b">
        <v>0</v>
      </c>
    </row>
    <row r="509" spans="1:24" x14ac:dyDescent="0.25">
      <c r="A509">
        <v>508</v>
      </c>
      <c r="B509" t="s">
        <v>955</v>
      </c>
      <c r="C509">
        <v>3</v>
      </c>
      <c r="D509">
        <v>5</v>
      </c>
      <c r="E509">
        <v>25</v>
      </c>
      <c r="F509">
        <v>3</v>
      </c>
      <c r="G509" t="s">
        <v>112</v>
      </c>
      <c r="H509">
        <v>1</v>
      </c>
      <c r="I509" t="s">
        <v>112</v>
      </c>
      <c r="J509">
        <v>245</v>
      </c>
      <c r="K509">
        <v>784</v>
      </c>
      <c r="L509">
        <v>1</v>
      </c>
      <c r="M509">
        <v>114</v>
      </c>
      <c r="N509">
        <v>365</v>
      </c>
      <c r="O509">
        <v>1</v>
      </c>
      <c r="P509">
        <v>75</v>
      </c>
      <c r="Q509">
        <v>158</v>
      </c>
      <c r="R509">
        <v>1</v>
      </c>
      <c r="S509">
        <v>1500000</v>
      </c>
      <c r="T509" t="s">
        <v>112</v>
      </c>
      <c r="U509" t="s">
        <v>143</v>
      </c>
      <c r="W509">
        <v>300</v>
      </c>
      <c r="X509" t="b">
        <v>0</v>
      </c>
    </row>
    <row r="510" spans="1:24" x14ac:dyDescent="0.25">
      <c r="A510">
        <v>509</v>
      </c>
      <c r="B510" t="s">
        <v>956</v>
      </c>
      <c r="C510">
        <v>4</v>
      </c>
      <c r="D510">
        <v>10</v>
      </c>
      <c r="E510">
        <v>70</v>
      </c>
      <c r="F510">
        <v>3</v>
      </c>
      <c r="G510" t="s">
        <v>112</v>
      </c>
      <c r="H510">
        <v>1</v>
      </c>
      <c r="I510" t="s">
        <v>112</v>
      </c>
      <c r="J510">
        <v>706</v>
      </c>
      <c r="K510">
        <v>1906</v>
      </c>
      <c r="L510">
        <v>1</v>
      </c>
      <c r="M510">
        <v>329</v>
      </c>
      <c r="N510">
        <v>823</v>
      </c>
      <c r="O510">
        <v>1</v>
      </c>
      <c r="P510">
        <v>142</v>
      </c>
      <c r="Q510">
        <v>213</v>
      </c>
      <c r="R510">
        <v>1</v>
      </c>
      <c r="S510">
        <v>1500000</v>
      </c>
      <c r="T510" t="s">
        <v>957</v>
      </c>
      <c r="U510" t="s">
        <v>786</v>
      </c>
      <c r="V510" t="s">
        <v>1460</v>
      </c>
      <c r="W510">
        <v>525</v>
      </c>
      <c r="X510" t="b">
        <v>0</v>
      </c>
    </row>
    <row r="511" spans="1:24" x14ac:dyDescent="0.25">
      <c r="A511">
        <v>510</v>
      </c>
      <c r="B511" t="s">
        <v>958</v>
      </c>
      <c r="C511">
        <v>3</v>
      </c>
      <c r="D511">
        <v>5</v>
      </c>
      <c r="E511">
        <v>25</v>
      </c>
      <c r="F511">
        <v>4</v>
      </c>
      <c r="G511" t="s">
        <v>112</v>
      </c>
      <c r="H511">
        <v>1</v>
      </c>
      <c r="I511" t="s">
        <v>112</v>
      </c>
      <c r="J511">
        <v>198</v>
      </c>
      <c r="K511">
        <v>634</v>
      </c>
      <c r="L511">
        <v>1</v>
      </c>
      <c r="M511">
        <v>124</v>
      </c>
      <c r="N511">
        <v>397</v>
      </c>
      <c r="O511">
        <v>1</v>
      </c>
      <c r="P511">
        <v>99</v>
      </c>
      <c r="Q511">
        <v>208</v>
      </c>
      <c r="R511">
        <v>1</v>
      </c>
      <c r="S511">
        <v>1500000</v>
      </c>
      <c r="T511" t="s">
        <v>112</v>
      </c>
      <c r="U511" t="s">
        <v>151</v>
      </c>
      <c r="W511">
        <v>300</v>
      </c>
      <c r="X511" t="b">
        <v>0</v>
      </c>
    </row>
    <row r="512" spans="1:24" x14ac:dyDescent="0.25">
      <c r="A512">
        <v>511</v>
      </c>
      <c r="B512" t="s">
        <v>959</v>
      </c>
      <c r="C512">
        <v>4</v>
      </c>
      <c r="D512">
        <v>10</v>
      </c>
      <c r="E512">
        <v>70</v>
      </c>
      <c r="F512">
        <v>4</v>
      </c>
      <c r="G512" t="s">
        <v>112</v>
      </c>
      <c r="H512">
        <v>1</v>
      </c>
      <c r="I512" t="s">
        <v>112</v>
      </c>
      <c r="J512">
        <v>571</v>
      </c>
      <c r="K512">
        <v>1542</v>
      </c>
      <c r="L512">
        <v>1</v>
      </c>
      <c r="M512">
        <v>357</v>
      </c>
      <c r="N512">
        <v>893</v>
      </c>
      <c r="O512">
        <v>1</v>
      </c>
      <c r="P512">
        <v>187</v>
      </c>
      <c r="Q512">
        <v>281</v>
      </c>
      <c r="R512">
        <v>1</v>
      </c>
      <c r="S512">
        <v>1500000</v>
      </c>
      <c r="T512" t="s">
        <v>960</v>
      </c>
      <c r="U512" t="s">
        <v>788</v>
      </c>
      <c r="V512" t="s">
        <v>2213</v>
      </c>
      <c r="W512">
        <v>525</v>
      </c>
      <c r="X512" t="b">
        <v>0</v>
      </c>
    </row>
    <row r="513" spans="1:24" x14ac:dyDescent="0.25">
      <c r="A513">
        <v>512</v>
      </c>
      <c r="B513" t="s">
        <v>961</v>
      </c>
      <c r="C513">
        <v>5</v>
      </c>
      <c r="D513">
        <v>30</v>
      </c>
      <c r="E513">
        <v>99</v>
      </c>
      <c r="F513">
        <v>0</v>
      </c>
      <c r="G513" t="s">
        <v>112</v>
      </c>
      <c r="H513">
        <v>2</v>
      </c>
      <c r="I513" t="s">
        <v>112</v>
      </c>
      <c r="J513">
        <v>3000</v>
      </c>
      <c r="K513">
        <v>6133</v>
      </c>
      <c r="L513">
        <v>1</v>
      </c>
      <c r="M513">
        <v>1101</v>
      </c>
      <c r="N513">
        <v>1363</v>
      </c>
      <c r="O513">
        <v>1.5</v>
      </c>
      <c r="P513">
        <v>0</v>
      </c>
      <c r="Q513">
        <v>-500</v>
      </c>
      <c r="R513">
        <v>1.5</v>
      </c>
      <c r="S513">
        <v>4000000</v>
      </c>
      <c r="T513" t="s">
        <v>218</v>
      </c>
      <c r="U513" t="s">
        <v>186</v>
      </c>
      <c r="V513" t="s">
        <v>962</v>
      </c>
      <c r="W513">
        <v>1312.5</v>
      </c>
      <c r="X513" t="b">
        <v>0</v>
      </c>
    </row>
    <row r="514" spans="1:24" x14ac:dyDescent="0.25">
      <c r="A514">
        <v>513</v>
      </c>
      <c r="B514" t="s">
        <v>963</v>
      </c>
      <c r="C514">
        <v>6</v>
      </c>
      <c r="D514">
        <v>30</v>
      </c>
      <c r="E514">
        <v>99</v>
      </c>
      <c r="F514">
        <v>1</v>
      </c>
      <c r="G514" t="s">
        <v>112</v>
      </c>
      <c r="H514">
        <v>2</v>
      </c>
      <c r="I514" t="s">
        <v>112</v>
      </c>
      <c r="J514">
        <v>2111</v>
      </c>
      <c r="K514">
        <v>3919</v>
      </c>
      <c r="L514">
        <v>1</v>
      </c>
      <c r="M514">
        <v>1156</v>
      </c>
      <c r="N514">
        <v>1309</v>
      </c>
      <c r="O514">
        <v>1.5</v>
      </c>
      <c r="P514">
        <v>81</v>
      </c>
      <c r="Q514">
        <v>129</v>
      </c>
      <c r="R514">
        <v>1.5</v>
      </c>
      <c r="S514">
        <v>4000000</v>
      </c>
      <c r="T514" t="s">
        <v>462</v>
      </c>
      <c r="U514" t="s">
        <v>396</v>
      </c>
      <c r="V514" t="s">
        <v>964</v>
      </c>
      <c r="W514">
        <v>1350</v>
      </c>
      <c r="X514" t="b">
        <v>0</v>
      </c>
    </row>
    <row r="515" spans="1:24" x14ac:dyDescent="0.25">
      <c r="A515">
        <v>514</v>
      </c>
      <c r="B515" t="s">
        <v>965</v>
      </c>
      <c r="C515">
        <v>6</v>
      </c>
      <c r="D515">
        <v>30</v>
      </c>
      <c r="E515">
        <v>99</v>
      </c>
      <c r="F515">
        <v>2</v>
      </c>
      <c r="G515" t="s">
        <v>112</v>
      </c>
      <c r="H515">
        <v>1</v>
      </c>
      <c r="I515" t="s">
        <v>112</v>
      </c>
      <c r="J515">
        <v>1613</v>
      </c>
      <c r="K515">
        <v>2887</v>
      </c>
      <c r="L515">
        <v>1</v>
      </c>
      <c r="M515">
        <v>1204</v>
      </c>
      <c r="N515">
        <v>1336</v>
      </c>
      <c r="O515">
        <v>1.5</v>
      </c>
      <c r="P515">
        <v>255</v>
      </c>
      <c r="Q515">
        <v>348</v>
      </c>
      <c r="R515">
        <v>1.5</v>
      </c>
      <c r="S515">
        <v>4000000</v>
      </c>
      <c r="T515" t="s">
        <v>466</v>
      </c>
      <c r="U515" t="s">
        <v>398</v>
      </c>
      <c r="V515" t="s">
        <v>966</v>
      </c>
      <c r="W515">
        <v>1350</v>
      </c>
      <c r="X515" t="b">
        <v>0</v>
      </c>
    </row>
    <row r="516" spans="1:24" x14ac:dyDescent="0.25">
      <c r="A516">
        <v>515</v>
      </c>
      <c r="B516" t="s">
        <v>967</v>
      </c>
      <c r="C516">
        <v>6</v>
      </c>
      <c r="D516">
        <v>30</v>
      </c>
      <c r="E516">
        <v>99</v>
      </c>
      <c r="F516">
        <v>3</v>
      </c>
      <c r="G516" t="s">
        <v>112</v>
      </c>
      <c r="H516">
        <v>3</v>
      </c>
      <c r="I516" t="s">
        <v>112</v>
      </c>
      <c r="J516">
        <v>1593</v>
      </c>
      <c r="K516">
        <v>2308</v>
      </c>
      <c r="L516">
        <v>1</v>
      </c>
      <c r="M516">
        <v>996</v>
      </c>
      <c r="N516">
        <v>1189</v>
      </c>
      <c r="O516">
        <v>1.5</v>
      </c>
      <c r="P516">
        <v>438</v>
      </c>
      <c r="Q516">
        <v>556</v>
      </c>
      <c r="R516">
        <v>1.5</v>
      </c>
      <c r="S516">
        <v>4000000</v>
      </c>
      <c r="T516" t="s">
        <v>470</v>
      </c>
      <c r="U516" t="s">
        <v>400</v>
      </c>
      <c r="V516" t="s">
        <v>968</v>
      </c>
      <c r="W516">
        <v>1350</v>
      </c>
      <c r="X516" t="b">
        <v>0</v>
      </c>
    </row>
    <row r="517" spans="1:24" x14ac:dyDescent="0.25">
      <c r="A517">
        <v>516</v>
      </c>
      <c r="B517" t="s">
        <v>969</v>
      </c>
      <c r="C517">
        <v>5</v>
      </c>
      <c r="D517">
        <v>30</v>
      </c>
      <c r="E517">
        <v>99</v>
      </c>
      <c r="F517">
        <v>4</v>
      </c>
      <c r="G517" t="s">
        <v>112</v>
      </c>
      <c r="H517">
        <v>1</v>
      </c>
      <c r="I517">
        <v>7</v>
      </c>
      <c r="J517">
        <v>1616</v>
      </c>
      <c r="K517">
        <v>2796</v>
      </c>
      <c r="L517">
        <v>1</v>
      </c>
      <c r="M517">
        <v>988</v>
      </c>
      <c r="N517">
        <v>1218</v>
      </c>
      <c r="O517">
        <v>1.5</v>
      </c>
      <c r="P517">
        <v>281</v>
      </c>
      <c r="Q517">
        <v>463</v>
      </c>
      <c r="R517">
        <v>1.5</v>
      </c>
      <c r="S517">
        <v>4000000</v>
      </c>
      <c r="T517" t="s">
        <v>153</v>
      </c>
      <c r="U517" t="s">
        <v>198</v>
      </c>
      <c r="V517" t="s">
        <v>970</v>
      </c>
      <c r="W517">
        <v>1312.5</v>
      </c>
      <c r="X517" t="b">
        <v>0</v>
      </c>
    </row>
    <row r="518" spans="1:24" x14ac:dyDescent="0.25">
      <c r="A518">
        <v>517</v>
      </c>
      <c r="B518" t="s">
        <v>971</v>
      </c>
      <c r="C518">
        <v>4</v>
      </c>
      <c r="D518">
        <v>5</v>
      </c>
      <c r="E518">
        <v>15</v>
      </c>
      <c r="F518">
        <v>3</v>
      </c>
      <c r="G518" t="s">
        <v>112</v>
      </c>
      <c r="H518">
        <v>14</v>
      </c>
      <c r="I518" t="s">
        <v>112</v>
      </c>
      <c r="J518">
        <v>300</v>
      </c>
      <c r="K518">
        <v>777</v>
      </c>
      <c r="L518">
        <v>1</v>
      </c>
      <c r="M518">
        <v>200</v>
      </c>
      <c r="N518">
        <v>500</v>
      </c>
      <c r="O518">
        <v>1</v>
      </c>
      <c r="P518">
        <v>10</v>
      </c>
      <c r="Q518">
        <v>100</v>
      </c>
      <c r="R518">
        <v>1</v>
      </c>
      <c r="S518">
        <v>1500000</v>
      </c>
      <c r="T518" t="s">
        <v>112</v>
      </c>
      <c r="U518" t="s">
        <v>112</v>
      </c>
      <c r="W518">
        <v>337.5</v>
      </c>
      <c r="X518" t="b">
        <v>0</v>
      </c>
    </row>
    <row r="519" spans="1:24" x14ac:dyDescent="0.25">
      <c r="A519">
        <v>518</v>
      </c>
      <c r="B519" t="s">
        <v>972</v>
      </c>
      <c r="C519">
        <v>4</v>
      </c>
      <c r="D519">
        <v>5</v>
      </c>
      <c r="E519">
        <v>15</v>
      </c>
      <c r="F519">
        <v>3</v>
      </c>
      <c r="G519" t="s">
        <v>112</v>
      </c>
      <c r="H519">
        <v>14</v>
      </c>
      <c r="I519" t="s">
        <v>112</v>
      </c>
      <c r="J519">
        <v>300</v>
      </c>
      <c r="K519">
        <v>777</v>
      </c>
      <c r="L519">
        <v>1</v>
      </c>
      <c r="M519">
        <v>200</v>
      </c>
      <c r="N519">
        <v>500</v>
      </c>
      <c r="O519">
        <v>1</v>
      </c>
      <c r="P519">
        <v>10</v>
      </c>
      <c r="Q519">
        <v>100</v>
      </c>
      <c r="R519">
        <v>1</v>
      </c>
      <c r="S519">
        <v>1500000</v>
      </c>
      <c r="T519" t="s">
        <v>112</v>
      </c>
      <c r="U519" t="s">
        <v>112</v>
      </c>
      <c r="W519">
        <v>337.5</v>
      </c>
      <c r="X519" t="b">
        <v>0</v>
      </c>
    </row>
    <row r="520" spans="1:24" x14ac:dyDescent="0.25">
      <c r="A520">
        <v>519</v>
      </c>
      <c r="B520" t="s">
        <v>973</v>
      </c>
      <c r="C520">
        <v>4</v>
      </c>
      <c r="D520">
        <v>5</v>
      </c>
      <c r="E520">
        <v>15</v>
      </c>
      <c r="F520">
        <v>3</v>
      </c>
      <c r="G520" t="s">
        <v>112</v>
      </c>
      <c r="H520">
        <v>14</v>
      </c>
      <c r="I520" t="s">
        <v>112</v>
      </c>
      <c r="J520">
        <v>300</v>
      </c>
      <c r="K520">
        <v>777</v>
      </c>
      <c r="L520">
        <v>1</v>
      </c>
      <c r="M520">
        <v>200</v>
      </c>
      <c r="N520">
        <v>500</v>
      </c>
      <c r="O520">
        <v>1</v>
      </c>
      <c r="P520">
        <v>10</v>
      </c>
      <c r="Q520">
        <v>100</v>
      </c>
      <c r="R520">
        <v>1</v>
      </c>
      <c r="S520">
        <v>1500000</v>
      </c>
      <c r="T520" t="s">
        <v>112</v>
      </c>
      <c r="U520" t="s">
        <v>112</v>
      </c>
      <c r="W520">
        <v>337.5</v>
      </c>
      <c r="X520" t="b">
        <v>0</v>
      </c>
    </row>
    <row r="521" spans="1:24" x14ac:dyDescent="0.25">
      <c r="A521">
        <v>520</v>
      </c>
      <c r="B521" t="s">
        <v>974</v>
      </c>
      <c r="C521">
        <v>5</v>
      </c>
      <c r="D521">
        <v>13</v>
      </c>
      <c r="E521">
        <v>50</v>
      </c>
      <c r="F521">
        <v>0</v>
      </c>
      <c r="G521" t="s">
        <v>112</v>
      </c>
      <c r="H521">
        <v>14</v>
      </c>
      <c r="I521" t="s">
        <v>112</v>
      </c>
      <c r="J521">
        <v>777</v>
      </c>
      <c r="K521">
        <v>1225</v>
      </c>
      <c r="L521">
        <v>1</v>
      </c>
      <c r="M521">
        <v>500</v>
      </c>
      <c r="N521">
        <v>918</v>
      </c>
      <c r="O521">
        <v>1</v>
      </c>
      <c r="P521">
        <v>100</v>
      </c>
      <c r="Q521">
        <v>220</v>
      </c>
      <c r="R521">
        <v>1</v>
      </c>
      <c r="S521">
        <v>1500000</v>
      </c>
      <c r="T521" t="s">
        <v>975</v>
      </c>
      <c r="U521" t="s">
        <v>976</v>
      </c>
      <c r="W521">
        <v>20000</v>
      </c>
      <c r="X521" t="b">
        <v>0</v>
      </c>
    </row>
    <row r="522" spans="1:24" x14ac:dyDescent="0.25">
      <c r="A522">
        <v>521</v>
      </c>
      <c r="B522" t="s">
        <v>977</v>
      </c>
      <c r="C522">
        <v>5</v>
      </c>
      <c r="D522">
        <v>13</v>
      </c>
      <c r="E522">
        <v>50</v>
      </c>
      <c r="F522">
        <v>1</v>
      </c>
      <c r="G522" t="s">
        <v>112</v>
      </c>
      <c r="H522">
        <v>14</v>
      </c>
      <c r="I522" t="s">
        <v>112</v>
      </c>
      <c r="J522">
        <v>777</v>
      </c>
      <c r="K522">
        <v>1225</v>
      </c>
      <c r="L522">
        <v>1</v>
      </c>
      <c r="M522">
        <v>500</v>
      </c>
      <c r="N522">
        <v>918</v>
      </c>
      <c r="O522">
        <v>1</v>
      </c>
      <c r="P522">
        <v>100</v>
      </c>
      <c r="Q522">
        <v>220</v>
      </c>
      <c r="R522">
        <v>1</v>
      </c>
      <c r="S522">
        <v>1500000</v>
      </c>
      <c r="T522" t="s">
        <v>978</v>
      </c>
      <c r="U522" t="s">
        <v>979</v>
      </c>
      <c r="W522">
        <v>20000</v>
      </c>
      <c r="X522" t="b">
        <v>0</v>
      </c>
    </row>
    <row r="523" spans="1:24" x14ac:dyDescent="0.25">
      <c r="A523">
        <v>522</v>
      </c>
      <c r="B523" t="s">
        <v>980</v>
      </c>
      <c r="C523">
        <v>5</v>
      </c>
      <c r="D523">
        <v>13</v>
      </c>
      <c r="E523">
        <v>50</v>
      </c>
      <c r="F523">
        <v>2</v>
      </c>
      <c r="G523" t="s">
        <v>112</v>
      </c>
      <c r="H523">
        <v>14</v>
      </c>
      <c r="I523" t="s">
        <v>112</v>
      </c>
      <c r="J523">
        <v>777</v>
      </c>
      <c r="K523">
        <v>1225</v>
      </c>
      <c r="L523">
        <v>1</v>
      </c>
      <c r="M523">
        <v>500</v>
      </c>
      <c r="N523">
        <v>918</v>
      </c>
      <c r="O523">
        <v>1</v>
      </c>
      <c r="P523">
        <v>100</v>
      </c>
      <c r="Q523">
        <v>220</v>
      </c>
      <c r="R523">
        <v>1</v>
      </c>
      <c r="S523">
        <v>1500000</v>
      </c>
      <c r="T523" t="s">
        <v>981</v>
      </c>
      <c r="U523" t="s">
        <v>982</v>
      </c>
      <c r="W523">
        <v>20000</v>
      </c>
      <c r="X523" t="b">
        <v>0</v>
      </c>
    </row>
    <row r="524" spans="1:24" x14ac:dyDescent="0.25">
      <c r="A524">
        <v>523</v>
      </c>
      <c r="B524" t="s">
        <v>983</v>
      </c>
      <c r="C524">
        <v>2</v>
      </c>
      <c r="D524">
        <v>3</v>
      </c>
      <c r="E524">
        <v>10</v>
      </c>
      <c r="F524">
        <v>0</v>
      </c>
      <c r="G524" t="s">
        <v>112</v>
      </c>
      <c r="H524">
        <v>14</v>
      </c>
      <c r="I524" t="s">
        <v>112</v>
      </c>
      <c r="J524">
        <v>52</v>
      </c>
      <c r="K524">
        <v>156</v>
      </c>
      <c r="L524">
        <v>0.7</v>
      </c>
      <c r="M524">
        <v>88</v>
      </c>
      <c r="N524">
        <v>176</v>
      </c>
      <c r="O524">
        <v>0.7</v>
      </c>
      <c r="P524">
        <v>100</v>
      </c>
      <c r="Q524">
        <v>200</v>
      </c>
      <c r="R524">
        <v>0.7</v>
      </c>
      <c r="S524">
        <v>1500000</v>
      </c>
      <c r="T524" t="s">
        <v>112</v>
      </c>
      <c r="U524" t="s">
        <v>112</v>
      </c>
      <c r="W524">
        <v>1200</v>
      </c>
      <c r="X524" t="b">
        <v>0</v>
      </c>
    </row>
    <row r="525" spans="1:24" x14ac:dyDescent="0.25">
      <c r="A525">
        <v>524</v>
      </c>
      <c r="B525" t="s">
        <v>984</v>
      </c>
      <c r="C525">
        <v>2</v>
      </c>
      <c r="D525">
        <v>3</v>
      </c>
      <c r="E525">
        <v>10</v>
      </c>
      <c r="F525">
        <v>1</v>
      </c>
      <c r="G525" t="s">
        <v>112</v>
      </c>
      <c r="H525">
        <v>14</v>
      </c>
      <c r="I525" t="s">
        <v>112</v>
      </c>
      <c r="J525">
        <v>53</v>
      </c>
      <c r="K525">
        <v>159</v>
      </c>
      <c r="L525">
        <v>0.7</v>
      </c>
      <c r="M525">
        <v>87</v>
      </c>
      <c r="N525">
        <v>174</v>
      </c>
      <c r="O525">
        <v>0.7</v>
      </c>
      <c r="P525">
        <v>103</v>
      </c>
      <c r="Q525">
        <v>206</v>
      </c>
      <c r="R525">
        <v>0.7</v>
      </c>
      <c r="S525">
        <v>1500000</v>
      </c>
      <c r="T525" t="s">
        <v>112</v>
      </c>
      <c r="U525" t="s">
        <v>112</v>
      </c>
      <c r="W525">
        <v>1200</v>
      </c>
      <c r="X525" t="b">
        <v>0</v>
      </c>
    </row>
    <row r="526" spans="1:24" x14ac:dyDescent="0.25">
      <c r="A526">
        <v>525</v>
      </c>
      <c r="B526" t="s">
        <v>985</v>
      </c>
      <c r="C526">
        <v>2</v>
      </c>
      <c r="D526">
        <v>3</v>
      </c>
      <c r="E526">
        <v>10</v>
      </c>
      <c r="F526">
        <v>2</v>
      </c>
      <c r="G526" t="s">
        <v>112</v>
      </c>
      <c r="H526">
        <v>14</v>
      </c>
      <c r="I526" t="s">
        <v>112</v>
      </c>
      <c r="J526">
        <v>55</v>
      </c>
      <c r="K526">
        <v>165</v>
      </c>
      <c r="L526">
        <v>0.7</v>
      </c>
      <c r="M526">
        <v>85</v>
      </c>
      <c r="N526">
        <v>170</v>
      </c>
      <c r="O526">
        <v>0.7</v>
      </c>
      <c r="P526">
        <v>103</v>
      </c>
      <c r="Q526">
        <v>206</v>
      </c>
      <c r="R526">
        <v>0.7</v>
      </c>
      <c r="S526">
        <v>1500000</v>
      </c>
      <c r="T526" t="s">
        <v>112</v>
      </c>
      <c r="U526" t="s">
        <v>112</v>
      </c>
      <c r="W526">
        <v>1200</v>
      </c>
      <c r="X526" t="b">
        <v>0</v>
      </c>
    </row>
    <row r="527" spans="1:24" x14ac:dyDescent="0.25">
      <c r="A527">
        <v>526</v>
      </c>
      <c r="B527" t="s">
        <v>986</v>
      </c>
      <c r="C527">
        <v>4</v>
      </c>
      <c r="D527">
        <v>10</v>
      </c>
      <c r="E527">
        <v>50</v>
      </c>
      <c r="F527">
        <v>0</v>
      </c>
      <c r="G527" t="s">
        <v>112</v>
      </c>
      <c r="H527">
        <v>6</v>
      </c>
      <c r="I527" t="s">
        <v>112</v>
      </c>
      <c r="J527">
        <v>220</v>
      </c>
      <c r="K527">
        <v>990</v>
      </c>
      <c r="L527">
        <v>1</v>
      </c>
      <c r="M527">
        <v>148</v>
      </c>
      <c r="N527">
        <v>666</v>
      </c>
      <c r="O527">
        <v>1</v>
      </c>
      <c r="P527">
        <v>55</v>
      </c>
      <c r="Q527">
        <v>116</v>
      </c>
      <c r="R527">
        <v>1</v>
      </c>
      <c r="S527">
        <v>1500000</v>
      </c>
      <c r="T527" t="s">
        <v>112</v>
      </c>
      <c r="U527" t="s">
        <v>987</v>
      </c>
      <c r="W527">
        <v>525</v>
      </c>
      <c r="X527" t="b">
        <v>0</v>
      </c>
    </row>
    <row r="528" spans="1:24" x14ac:dyDescent="0.25">
      <c r="A528">
        <v>527</v>
      </c>
      <c r="B528" t="s">
        <v>988</v>
      </c>
      <c r="C528">
        <v>5</v>
      </c>
      <c r="D528">
        <v>15</v>
      </c>
      <c r="E528">
        <v>99</v>
      </c>
      <c r="F528">
        <v>0</v>
      </c>
      <c r="G528" t="s">
        <v>112</v>
      </c>
      <c r="H528">
        <v>6</v>
      </c>
      <c r="I528" t="s">
        <v>112</v>
      </c>
      <c r="J528">
        <v>792</v>
      </c>
      <c r="K528">
        <v>1980</v>
      </c>
      <c r="L528">
        <v>1</v>
      </c>
      <c r="M528">
        <v>599</v>
      </c>
      <c r="N528">
        <v>1498</v>
      </c>
      <c r="O528">
        <v>1</v>
      </c>
      <c r="P528">
        <v>104</v>
      </c>
      <c r="Q528">
        <v>218</v>
      </c>
      <c r="R528">
        <v>1</v>
      </c>
      <c r="S528">
        <v>3000000</v>
      </c>
      <c r="T528" t="s">
        <v>990</v>
      </c>
      <c r="U528" t="s">
        <v>987</v>
      </c>
      <c r="V528" t="s">
        <v>989</v>
      </c>
      <c r="W528">
        <v>750</v>
      </c>
      <c r="X528" t="b">
        <v>0</v>
      </c>
    </row>
    <row r="529" spans="1:24" x14ac:dyDescent="0.25">
      <c r="A529">
        <v>528</v>
      </c>
      <c r="B529" t="s">
        <v>991</v>
      </c>
      <c r="C529">
        <v>5</v>
      </c>
      <c r="D529">
        <v>13</v>
      </c>
      <c r="E529">
        <v>50</v>
      </c>
      <c r="F529">
        <v>1</v>
      </c>
      <c r="G529" t="s">
        <v>112</v>
      </c>
      <c r="H529">
        <v>3</v>
      </c>
      <c r="I529" t="s">
        <v>112</v>
      </c>
      <c r="J529">
        <v>274</v>
      </c>
      <c r="K529">
        <v>1233</v>
      </c>
      <c r="L529">
        <v>1</v>
      </c>
      <c r="M529">
        <v>125</v>
      </c>
      <c r="N529">
        <v>563</v>
      </c>
      <c r="O529">
        <v>1</v>
      </c>
      <c r="P529">
        <v>149</v>
      </c>
      <c r="Q529">
        <v>313</v>
      </c>
      <c r="R529">
        <v>1</v>
      </c>
      <c r="S529">
        <v>4000000</v>
      </c>
      <c r="T529" t="s">
        <v>112</v>
      </c>
      <c r="U529" t="s">
        <v>992</v>
      </c>
      <c r="W529">
        <v>675</v>
      </c>
      <c r="X529" t="b">
        <v>0</v>
      </c>
    </row>
    <row r="530" spans="1:24" x14ac:dyDescent="0.25">
      <c r="A530">
        <v>529</v>
      </c>
      <c r="B530" t="s">
        <v>993</v>
      </c>
      <c r="C530">
        <v>6</v>
      </c>
      <c r="D530">
        <v>19</v>
      </c>
      <c r="E530">
        <v>99</v>
      </c>
      <c r="F530">
        <v>1</v>
      </c>
      <c r="G530" t="s">
        <v>112</v>
      </c>
      <c r="H530">
        <v>3</v>
      </c>
      <c r="I530" t="s">
        <v>112</v>
      </c>
      <c r="J530">
        <v>986</v>
      </c>
      <c r="K530">
        <v>2465</v>
      </c>
      <c r="L530">
        <v>1</v>
      </c>
      <c r="M530">
        <v>507</v>
      </c>
      <c r="N530">
        <v>1268</v>
      </c>
      <c r="O530">
        <v>1</v>
      </c>
      <c r="P530">
        <v>282</v>
      </c>
      <c r="Q530">
        <v>592</v>
      </c>
      <c r="R530">
        <v>1</v>
      </c>
      <c r="S530">
        <v>4000000</v>
      </c>
      <c r="T530" t="s">
        <v>995</v>
      </c>
      <c r="U530" t="s">
        <v>992</v>
      </c>
      <c r="V530" t="s">
        <v>994</v>
      </c>
      <c r="W530">
        <v>937.5</v>
      </c>
      <c r="X530" t="b">
        <v>0</v>
      </c>
    </row>
    <row r="531" spans="1:24" x14ac:dyDescent="0.25">
      <c r="A531">
        <v>530</v>
      </c>
      <c r="B531" t="s">
        <v>996</v>
      </c>
      <c r="C531">
        <v>4</v>
      </c>
      <c r="D531">
        <v>10</v>
      </c>
      <c r="E531">
        <v>50</v>
      </c>
      <c r="F531">
        <v>4</v>
      </c>
      <c r="G531" t="s">
        <v>112</v>
      </c>
      <c r="H531">
        <v>1</v>
      </c>
      <c r="I531" t="s">
        <v>112</v>
      </c>
      <c r="J531">
        <v>256</v>
      </c>
      <c r="K531">
        <v>1152</v>
      </c>
      <c r="L531">
        <v>1</v>
      </c>
      <c r="M531">
        <v>126</v>
      </c>
      <c r="N531">
        <v>567</v>
      </c>
      <c r="O531">
        <v>1</v>
      </c>
      <c r="P531">
        <v>92</v>
      </c>
      <c r="Q531">
        <v>193</v>
      </c>
      <c r="R531">
        <v>1</v>
      </c>
      <c r="S531">
        <v>1500000</v>
      </c>
      <c r="T531" t="s">
        <v>112</v>
      </c>
      <c r="U531" t="s">
        <v>997</v>
      </c>
      <c r="W531">
        <v>525</v>
      </c>
      <c r="X531" t="b">
        <v>0</v>
      </c>
    </row>
    <row r="532" spans="1:24" x14ac:dyDescent="0.25">
      <c r="A532">
        <v>531</v>
      </c>
      <c r="B532" t="s">
        <v>998</v>
      </c>
      <c r="C532">
        <v>5</v>
      </c>
      <c r="D532">
        <v>15</v>
      </c>
      <c r="E532">
        <v>99</v>
      </c>
      <c r="F532">
        <v>4</v>
      </c>
      <c r="G532" t="s">
        <v>112</v>
      </c>
      <c r="H532">
        <v>1</v>
      </c>
      <c r="I532" t="s">
        <v>112</v>
      </c>
      <c r="J532">
        <v>922</v>
      </c>
      <c r="K532">
        <v>2305</v>
      </c>
      <c r="L532">
        <v>1</v>
      </c>
      <c r="M532">
        <v>510</v>
      </c>
      <c r="N532">
        <v>1275</v>
      </c>
      <c r="O532">
        <v>1</v>
      </c>
      <c r="P532">
        <v>174</v>
      </c>
      <c r="Q532">
        <v>365</v>
      </c>
      <c r="R532">
        <v>1</v>
      </c>
      <c r="S532">
        <v>3000000</v>
      </c>
      <c r="T532" t="s">
        <v>1000</v>
      </c>
      <c r="U532" t="s">
        <v>997</v>
      </c>
      <c r="V532" t="s">
        <v>999</v>
      </c>
      <c r="W532">
        <v>750</v>
      </c>
      <c r="X532" t="b">
        <v>0</v>
      </c>
    </row>
    <row r="533" spans="1:24" x14ac:dyDescent="0.25">
      <c r="A533">
        <v>532</v>
      </c>
      <c r="B533" t="s">
        <v>1001</v>
      </c>
      <c r="C533">
        <v>4</v>
      </c>
      <c r="D533">
        <v>20</v>
      </c>
      <c r="E533">
        <v>50</v>
      </c>
      <c r="F533">
        <v>0</v>
      </c>
      <c r="G533">
        <v>3</v>
      </c>
      <c r="H533">
        <v>6</v>
      </c>
      <c r="I533" t="s">
        <v>112</v>
      </c>
      <c r="J533">
        <v>220</v>
      </c>
      <c r="K533">
        <v>990</v>
      </c>
      <c r="L533">
        <v>1</v>
      </c>
      <c r="M533">
        <v>148</v>
      </c>
      <c r="N533">
        <v>666</v>
      </c>
      <c r="O533">
        <v>1</v>
      </c>
      <c r="P533">
        <v>55</v>
      </c>
      <c r="Q533">
        <v>116</v>
      </c>
      <c r="R533">
        <v>1</v>
      </c>
      <c r="S533">
        <v>1500000</v>
      </c>
      <c r="T533" t="s">
        <v>990</v>
      </c>
      <c r="U533" t="s">
        <v>987</v>
      </c>
      <c r="W533">
        <v>900</v>
      </c>
      <c r="X533" t="b">
        <v>0</v>
      </c>
    </row>
    <row r="534" spans="1:24" x14ac:dyDescent="0.25">
      <c r="A534">
        <v>533</v>
      </c>
      <c r="B534" t="s">
        <v>1002</v>
      </c>
      <c r="C534">
        <v>5</v>
      </c>
      <c r="D534">
        <v>25</v>
      </c>
      <c r="E534">
        <v>99</v>
      </c>
      <c r="F534">
        <v>0</v>
      </c>
      <c r="G534">
        <v>3</v>
      </c>
      <c r="H534">
        <v>6</v>
      </c>
      <c r="I534" t="s">
        <v>112</v>
      </c>
      <c r="J534">
        <v>792</v>
      </c>
      <c r="K534">
        <v>1980</v>
      </c>
      <c r="L534">
        <v>1</v>
      </c>
      <c r="M534">
        <v>599</v>
      </c>
      <c r="N534">
        <v>1398</v>
      </c>
      <c r="O534">
        <v>1</v>
      </c>
      <c r="P534">
        <v>104</v>
      </c>
      <c r="Q534">
        <v>218</v>
      </c>
      <c r="R534">
        <v>1</v>
      </c>
      <c r="S534">
        <v>3000000</v>
      </c>
      <c r="T534" t="s">
        <v>990</v>
      </c>
      <c r="U534" t="s">
        <v>987</v>
      </c>
      <c r="V534" t="s">
        <v>1003</v>
      </c>
      <c r="W534">
        <v>1125</v>
      </c>
      <c r="X534" t="b">
        <v>0</v>
      </c>
    </row>
    <row r="535" spans="1:24" x14ac:dyDescent="0.25">
      <c r="A535">
        <v>534</v>
      </c>
      <c r="B535" t="s">
        <v>1004</v>
      </c>
      <c r="C535">
        <v>5</v>
      </c>
      <c r="D535">
        <v>25</v>
      </c>
      <c r="E535">
        <v>50</v>
      </c>
      <c r="F535">
        <v>1</v>
      </c>
      <c r="G535">
        <v>3</v>
      </c>
      <c r="H535">
        <v>3</v>
      </c>
      <c r="I535" t="s">
        <v>112</v>
      </c>
      <c r="J535">
        <v>274</v>
      </c>
      <c r="K535">
        <v>1233</v>
      </c>
      <c r="L535">
        <v>1</v>
      </c>
      <c r="M535">
        <v>125</v>
      </c>
      <c r="N535">
        <v>563</v>
      </c>
      <c r="O535">
        <v>1</v>
      </c>
      <c r="P535">
        <v>149</v>
      </c>
      <c r="Q535">
        <v>313</v>
      </c>
      <c r="R535">
        <v>1</v>
      </c>
      <c r="S535">
        <v>4000000</v>
      </c>
      <c r="T535" t="s">
        <v>995</v>
      </c>
      <c r="U535" t="s">
        <v>992</v>
      </c>
      <c r="W535">
        <v>1125</v>
      </c>
      <c r="X535" t="b">
        <v>0</v>
      </c>
    </row>
    <row r="536" spans="1:24" x14ac:dyDescent="0.25">
      <c r="A536">
        <v>535</v>
      </c>
      <c r="B536" t="s">
        <v>1005</v>
      </c>
      <c r="C536">
        <v>6</v>
      </c>
      <c r="D536">
        <v>30</v>
      </c>
      <c r="E536">
        <v>99</v>
      </c>
      <c r="F536">
        <v>1</v>
      </c>
      <c r="G536">
        <v>3</v>
      </c>
      <c r="H536">
        <v>3</v>
      </c>
      <c r="I536" t="s">
        <v>112</v>
      </c>
      <c r="J536">
        <v>986</v>
      </c>
      <c r="K536">
        <v>2465</v>
      </c>
      <c r="L536">
        <v>1</v>
      </c>
      <c r="M536">
        <v>507</v>
      </c>
      <c r="N536">
        <v>1168</v>
      </c>
      <c r="O536">
        <v>1</v>
      </c>
      <c r="P536">
        <v>282</v>
      </c>
      <c r="Q536">
        <v>592</v>
      </c>
      <c r="R536">
        <v>1</v>
      </c>
      <c r="S536">
        <v>4000000</v>
      </c>
      <c r="T536" t="s">
        <v>995</v>
      </c>
      <c r="U536" t="s">
        <v>992</v>
      </c>
      <c r="V536" t="s">
        <v>1006</v>
      </c>
      <c r="W536">
        <v>1350</v>
      </c>
      <c r="X536" t="b">
        <v>0</v>
      </c>
    </row>
    <row r="537" spans="1:24" x14ac:dyDescent="0.25">
      <c r="A537">
        <v>536</v>
      </c>
      <c r="B537" t="s">
        <v>1007</v>
      </c>
      <c r="C537">
        <v>4</v>
      </c>
      <c r="D537">
        <v>20</v>
      </c>
      <c r="E537">
        <v>50</v>
      </c>
      <c r="F537">
        <v>4</v>
      </c>
      <c r="G537">
        <v>3</v>
      </c>
      <c r="H537">
        <v>1</v>
      </c>
      <c r="I537" t="s">
        <v>112</v>
      </c>
      <c r="J537">
        <v>256</v>
      </c>
      <c r="K537">
        <v>1152</v>
      </c>
      <c r="L537">
        <v>1</v>
      </c>
      <c r="M537">
        <v>126</v>
      </c>
      <c r="N537">
        <v>567</v>
      </c>
      <c r="O537">
        <v>1</v>
      </c>
      <c r="P537">
        <v>92</v>
      </c>
      <c r="Q537">
        <v>193</v>
      </c>
      <c r="R537">
        <v>1</v>
      </c>
      <c r="S537">
        <v>1500000</v>
      </c>
      <c r="T537" t="s">
        <v>1000</v>
      </c>
      <c r="U537" t="s">
        <v>997</v>
      </c>
      <c r="W537">
        <v>900</v>
      </c>
      <c r="X537" t="b">
        <v>0</v>
      </c>
    </row>
    <row r="538" spans="1:24" x14ac:dyDescent="0.25">
      <c r="A538">
        <v>537</v>
      </c>
      <c r="B538" t="s">
        <v>1008</v>
      </c>
      <c r="C538">
        <v>5</v>
      </c>
      <c r="D538">
        <v>25</v>
      </c>
      <c r="E538">
        <v>99</v>
      </c>
      <c r="F538">
        <v>4</v>
      </c>
      <c r="G538">
        <v>3</v>
      </c>
      <c r="H538">
        <v>1</v>
      </c>
      <c r="I538" t="s">
        <v>112</v>
      </c>
      <c r="J538">
        <v>922</v>
      </c>
      <c r="K538">
        <v>2305</v>
      </c>
      <c r="L538">
        <v>1</v>
      </c>
      <c r="M538">
        <v>510</v>
      </c>
      <c r="N538">
        <v>1175</v>
      </c>
      <c r="O538">
        <v>1</v>
      </c>
      <c r="P538">
        <v>174</v>
      </c>
      <c r="Q538">
        <v>365</v>
      </c>
      <c r="R538">
        <v>1</v>
      </c>
      <c r="S538">
        <v>3000000</v>
      </c>
      <c r="T538" t="s">
        <v>1000</v>
      </c>
      <c r="U538" t="s">
        <v>997</v>
      </c>
      <c r="V538" t="s">
        <v>1009</v>
      </c>
      <c r="W538">
        <v>1125</v>
      </c>
      <c r="X538" t="b">
        <v>0</v>
      </c>
    </row>
    <row r="539" spans="1:24" x14ac:dyDescent="0.25">
      <c r="A539">
        <v>538</v>
      </c>
      <c r="B539" t="s">
        <v>1010</v>
      </c>
      <c r="C539">
        <v>5</v>
      </c>
      <c r="D539">
        <v>40</v>
      </c>
      <c r="E539">
        <v>50</v>
      </c>
      <c r="F539">
        <v>3</v>
      </c>
      <c r="G539" t="s">
        <v>112</v>
      </c>
      <c r="H539">
        <v>2</v>
      </c>
      <c r="I539" t="s">
        <v>112</v>
      </c>
      <c r="J539">
        <v>525</v>
      </c>
      <c r="K539">
        <v>1680</v>
      </c>
      <c r="L539">
        <v>1</v>
      </c>
      <c r="M539">
        <v>284</v>
      </c>
      <c r="N539">
        <v>596</v>
      </c>
      <c r="O539">
        <v>1</v>
      </c>
      <c r="P539">
        <v>79</v>
      </c>
      <c r="Q539">
        <v>150</v>
      </c>
      <c r="R539">
        <v>1</v>
      </c>
      <c r="S539">
        <v>4000000</v>
      </c>
      <c r="T539" t="s">
        <v>112</v>
      </c>
      <c r="U539" t="s">
        <v>1011</v>
      </c>
      <c r="W539">
        <v>1687.5</v>
      </c>
      <c r="X539" t="b">
        <v>0</v>
      </c>
    </row>
    <row r="540" spans="1:24" x14ac:dyDescent="0.25">
      <c r="A540">
        <v>539</v>
      </c>
      <c r="B540" t="s">
        <v>1012</v>
      </c>
      <c r="C540">
        <v>6</v>
      </c>
      <c r="D540">
        <v>50</v>
      </c>
      <c r="E540">
        <v>99</v>
      </c>
      <c r="F540">
        <v>3</v>
      </c>
      <c r="G540" t="s">
        <v>112</v>
      </c>
      <c r="H540">
        <v>2</v>
      </c>
      <c r="I540" t="s">
        <v>112</v>
      </c>
      <c r="J540">
        <v>1512</v>
      </c>
      <c r="K540">
        <v>3082</v>
      </c>
      <c r="L540">
        <v>1</v>
      </c>
      <c r="M540">
        <v>536</v>
      </c>
      <c r="N540">
        <v>1126</v>
      </c>
      <c r="O540">
        <v>1</v>
      </c>
      <c r="P540">
        <v>135</v>
      </c>
      <c r="Q540">
        <v>257</v>
      </c>
      <c r="R540">
        <v>1</v>
      </c>
      <c r="S540">
        <v>4000000</v>
      </c>
      <c r="T540" t="s">
        <v>1014</v>
      </c>
      <c r="U540" t="s">
        <v>1011</v>
      </c>
      <c r="V540" t="s">
        <v>1013</v>
      </c>
      <c r="W540">
        <v>2100</v>
      </c>
      <c r="X540" t="b">
        <v>0</v>
      </c>
    </row>
    <row r="541" spans="1:24" x14ac:dyDescent="0.25">
      <c r="A541">
        <v>540</v>
      </c>
      <c r="B541" t="s">
        <v>2214</v>
      </c>
      <c r="C541">
        <v>6</v>
      </c>
      <c r="D541">
        <v>50</v>
      </c>
      <c r="E541">
        <v>99</v>
      </c>
      <c r="F541">
        <v>0</v>
      </c>
      <c r="G541" t="s">
        <v>112</v>
      </c>
      <c r="H541">
        <v>4</v>
      </c>
      <c r="I541">
        <v>2</v>
      </c>
      <c r="J541">
        <v>1805</v>
      </c>
      <c r="K541">
        <v>4513</v>
      </c>
      <c r="L541">
        <v>1</v>
      </c>
      <c r="M541">
        <v>690</v>
      </c>
      <c r="N541">
        <v>1449</v>
      </c>
      <c r="O541">
        <v>1</v>
      </c>
      <c r="P541">
        <v>62</v>
      </c>
      <c r="Q541">
        <v>205</v>
      </c>
      <c r="R541">
        <v>1</v>
      </c>
      <c r="S541">
        <v>4000000</v>
      </c>
      <c r="T541" t="s">
        <v>1015</v>
      </c>
      <c r="U541" t="s">
        <v>1016</v>
      </c>
      <c r="V541" t="s">
        <v>350</v>
      </c>
      <c r="W541">
        <v>2100</v>
      </c>
      <c r="X541" t="b">
        <v>0</v>
      </c>
    </row>
    <row r="542" spans="1:24" x14ac:dyDescent="0.25">
      <c r="A542">
        <v>541</v>
      </c>
      <c r="B542" t="s">
        <v>2215</v>
      </c>
      <c r="C542">
        <v>6</v>
      </c>
      <c r="D542">
        <v>50</v>
      </c>
      <c r="E542">
        <v>99</v>
      </c>
      <c r="F542">
        <v>1</v>
      </c>
      <c r="G542" t="s">
        <v>112</v>
      </c>
      <c r="H542">
        <v>4</v>
      </c>
      <c r="I542">
        <v>6</v>
      </c>
      <c r="J542">
        <v>1791</v>
      </c>
      <c r="K542">
        <v>4478</v>
      </c>
      <c r="L542">
        <v>1</v>
      </c>
      <c r="M542">
        <v>697</v>
      </c>
      <c r="N542">
        <v>1464</v>
      </c>
      <c r="O542">
        <v>1</v>
      </c>
      <c r="P542">
        <v>65</v>
      </c>
      <c r="Q542">
        <v>215</v>
      </c>
      <c r="R542">
        <v>1</v>
      </c>
      <c r="S542">
        <v>4000000</v>
      </c>
      <c r="T542" t="s">
        <v>1017</v>
      </c>
      <c r="U542" t="s">
        <v>1018</v>
      </c>
      <c r="V542" t="s">
        <v>352</v>
      </c>
      <c r="W542">
        <v>2100</v>
      </c>
      <c r="X542" t="b">
        <v>0</v>
      </c>
    </row>
    <row r="543" spans="1:24" x14ac:dyDescent="0.25">
      <c r="A543">
        <v>542</v>
      </c>
      <c r="B543" t="s">
        <v>2216</v>
      </c>
      <c r="C543">
        <v>6</v>
      </c>
      <c r="D543">
        <v>50</v>
      </c>
      <c r="E543">
        <v>99</v>
      </c>
      <c r="F543">
        <v>2</v>
      </c>
      <c r="G543" t="s">
        <v>112</v>
      </c>
      <c r="H543">
        <v>4</v>
      </c>
      <c r="I543">
        <v>6</v>
      </c>
      <c r="J543">
        <v>1788</v>
      </c>
      <c r="K543">
        <v>4470</v>
      </c>
      <c r="L543">
        <v>1</v>
      </c>
      <c r="M543">
        <v>687</v>
      </c>
      <c r="N543">
        <v>1443</v>
      </c>
      <c r="O543">
        <v>1</v>
      </c>
      <c r="P543">
        <v>68</v>
      </c>
      <c r="Q543">
        <v>224</v>
      </c>
      <c r="R543">
        <v>1</v>
      </c>
      <c r="S543">
        <v>4000000</v>
      </c>
      <c r="T543" t="s">
        <v>1019</v>
      </c>
      <c r="U543" t="s">
        <v>1020</v>
      </c>
      <c r="V543" t="s">
        <v>354</v>
      </c>
      <c r="W543">
        <v>2100</v>
      </c>
      <c r="X543" t="b">
        <v>0</v>
      </c>
    </row>
    <row r="544" spans="1:24" x14ac:dyDescent="0.25">
      <c r="A544">
        <v>543</v>
      </c>
      <c r="B544" t="s">
        <v>2217</v>
      </c>
      <c r="C544">
        <v>6</v>
      </c>
      <c r="D544">
        <v>50</v>
      </c>
      <c r="E544">
        <v>99</v>
      </c>
      <c r="F544">
        <v>3</v>
      </c>
      <c r="G544" t="s">
        <v>112</v>
      </c>
      <c r="H544">
        <v>4</v>
      </c>
      <c r="I544">
        <v>2</v>
      </c>
      <c r="J544">
        <v>1773</v>
      </c>
      <c r="K544">
        <v>4433</v>
      </c>
      <c r="L544">
        <v>1</v>
      </c>
      <c r="M544">
        <v>685</v>
      </c>
      <c r="N544">
        <v>1439</v>
      </c>
      <c r="O544">
        <v>1</v>
      </c>
      <c r="P544">
        <v>70</v>
      </c>
      <c r="Q544">
        <v>231</v>
      </c>
      <c r="R544">
        <v>1</v>
      </c>
      <c r="S544">
        <v>4000000</v>
      </c>
      <c r="T544" t="s">
        <v>1021</v>
      </c>
      <c r="U544" t="s">
        <v>1022</v>
      </c>
      <c r="V544" t="s">
        <v>356</v>
      </c>
      <c r="W544">
        <v>2100</v>
      </c>
      <c r="X544" t="b">
        <v>0</v>
      </c>
    </row>
    <row r="545" spans="1:24" x14ac:dyDescent="0.25">
      <c r="A545">
        <v>544</v>
      </c>
      <c r="B545" t="s">
        <v>2218</v>
      </c>
      <c r="C545">
        <v>6</v>
      </c>
      <c r="D545">
        <v>50</v>
      </c>
      <c r="E545">
        <v>99</v>
      </c>
      <c r="F545">
        <v>4</v>
      </c>
      <c r="G545" t="s">
        <v>112</v>
      </c>
      <c r="H545">
        <v>4</v>
      </c>
      <c r="I545">
        <v>6</v>
      </c>
      <c r="J545">
        <v>1816</v>
      </c>
      <c r="K545">
        <v>4540</v>
      </c>
      <c r="L545">
        <v>1</v>
      </c>
      <c r="M545">
        <v>716</v>
      </c>
      <c r="N545">
        <v>1504</v>
      </c>
      <c r="O545">
        <v>1</v>
      </c>
      <c r="P545">
        <v>56</v>
      </c>
      <c r="Q545">
        <v>185</v>
      </c>
      <c r="R545">
        <v>1</v>
      </c>
      <c r="S545">
        <v>4000000</v>
      </c>
      <c r="T545" t="s">
        <v>1023</v>
      </c>
      <c r="U545" t="s">
        <v>1024</v>
      </c>
      <c r="V545" t="s">
        <v>358</v>
      </c>
      <c r="W545">
        <v>2100</v>
      </c>
      <c r="X545" t="b">
        <v>0</v>
      </c>
    </row>
    <row r="546" spans="1:24" x14ac:dyDescent="0.25">
      <c r="A546">
        <v>545</v>
      </c>
      <c r="B546" t="s">
        <v>1025</v>
      </c>
      <c r="C546">
        <v>2</v>
      </c>
      <c r="D546">
        <v>3</v>
      </c>
      <c r="E546">
        <v>15</v>
      </c>
      <c r="F546">
        <v>0</v>
      </c>
      <c r="G546" t="s">
        <v>112</v>
      </c>
      <c r="H546">
        <v>6</v>
      </c>
      <c r="I546" t="s">
        <v>112</v>
      </c>
      <c r="J546">
        <v>24</v>
      </c>
      <c r="K546">
        <v>62</v>
      </c>
      <c r="L546">
        <v>0.7</v>
      </c>
      <c r="M546">
        <v>252</v>
      </c>
      <c r="N546">
        <v>630</v>
      </c>
      <c r="O546">
        <v>0.7</v>
      </c>
      <c r="P546">
        <v>65</v>
      </c>
      <c r="Q546">
        <v>137</v>
      </c>
      <c r="R546">
        <v>0.7</v>
      </c>
      <c r="S546">
        <v>1000000</v>
      </c>
      <c r="T546" t="s">
        <v>112</v>
      </c>
      <c r="U546" t="s">
        <v>1026</v>
      </c>
      <c r="W546">
        <v>425</v>
      </c>
      <c r="X546" t="b">
        <v>0</v>
      </c>
    </row>
    <row r="547" spans="1:24" x14ac:dyDescent="0.25">
      <c r="A547">
        <v>546</v>
      </c>
      <c r="B547" t="s">
        <v>1027</v>
      </c>
      <c r="C547">
        <v>3</v>
      </c>
      <c r="D547">
        <v>7</v>
      </c>
      <c r="E547">
        <v>50</v>
      </c>
      <c r="F547">
        <v>0</v>
      </c>
      <c r="G547" t="s">
        <v>112</v>
      </c>
      <c r="H547">
        <v>6</v>
      </c>
      <c r="I547" t="s">
        <v>112</v>
      </c>
      <c r="J547">
        <v>50</v>
      </c>
      <c r="K547">
        <v>115</v>
      </c>
      <c r="L547">
        <v>0.7</v>
      </c>
      <c r="M547">
        <v>567</v>
      </c>
      <c r="N547">
        <v>1191</v>
      </c>
      <c r="O547">
        <v>0.7</v>
      </c>
      <c r="P547">
        <v>123</v>
      </c>
      <c r="Q547">
        <v>185</v>
      </c>
      <c r="R547">
        <v>0.7</v>
      </c>
      <c r="S547">
        <v>1000000</v>
      </c>
      <c r="T547" t="s">
        <v>1028</v>
      </c>
      <c r="U547" t="s">
        <v>1026</v>
      </c>
      <c r="W547">
        <v>500</v>
      </c>
      <c r="X547" t="b">
        <v>0</v>
      </c>
    </row>
    <row r="548" spans="1:24" x14ac:dyDescent="0.25">
      <c r="A548">
        <v>547</v>
      </c>
      <c r="B548" t="s">
        <v>1029</v>
      </c>
      <c r="C548">
        <v>2</v>
      </c>
      <c r="D548">
        <v>3</v>
      </c>
      <c r="E548">
        <v>15</v>
      </c>
      <c r="F548">
        <v>1</v>
      </c>
      <c r="G548" t="s">
        <v>112</v>
      </c>
      <c r="H548">
        <v>6</v>
      </c>
      <c r="I548" t="s">
        <v>112</v>
      </c>
      <c r="J548">
        <v>27</v>
      </c>
      <c r="K548">
        <v>70</v>
      </c>
      <c r="L548">
        <v>0.7</v>
      </c>
      <c r="M548">
        <v>250</v>
      </c>
      <c r="N548">
        <v>625</v>
      </c>
      <c r="O548">
        <v>0.7</v>
      </c>
      <c r="P548">
        <v>66</v>
      </c>
      <c r="Q548">
        <v>139</v>
      </c>
      <c r="R548">
        <v>0.7</v>
      </c>
      <c r="S548">
        <v>1000000</v>
      </c>
      <c r="T548" t="s">
        <v>112</v>
      </c>
      <c r="U548" t="s">
        <v>1026</v>
      </c>
      <c r="W548">
        <v>425</v>
      </c>
      <c r="X548" t="b">
        <v>0</v>
      </c>
    </row>
    <row r="549" spans="1:24" x14ac:dyDescent="0.25">
      <c r="A549">
        <v>548</v>
      </c>
      <c r="B549" t="s">
        <v>1030</v>
      </c>
      <c r="C549">
        <v>3</v>
      </c>
      <c r="D549">
        <v>7</v>
      </c>
      <c r="E549">
        <v>50</v>
      </c>
      <c r="F549">
        <v>1</v>
      </c>
      <c r="G549" t="s">
        <v>112</v>
      </c>
      <c r="H549">
        <v>6</v>
      </c>
      <c r="I549" t="s">
        <v>112</v>
      </c>
      <c r="J549">
        <v>56</v>
      </c>
      <c r="K549">
        <v>129</v>
      </c>
      <c r="L549">
        <v>0.7</v>
      </c>
      <c r="M549">
        <v>563</v>
      </c>
      <c r="N549">
        <v>1182</v>
      </c>
      <c r="O549">
        <v>0.7</v>
      </c>
      <c r="P549">
        <v>125</v>
      </c>
      <c r="Q549">
        <v>188</v>
      </c>
      <c r="R549">
        <v>0.7</v>
      </c>
      <c r="S549">
        <v>1000000</v>
      </c>
      <c r="T549" t="s">
        <v>1028</v>
      </c>
      <c r="U549" t="s">
        <v>1026</v>
      </c>
      <c r="W549">
        <v>500</v>
      </c>
      <c r="X549" t="b">
        <v>0</v>
      </c>
    </row>
    <row r="550" spans="1:24" x14ac:dyDescent="0.25">
      <c r="A550">
        <v>549</v>
      </c>
      <c r="B550" t="s">
        <v>1031</v>
      </c>
      <c r="C550">
        <v>2</v>
      </c>
      <c r="D550">
        <v>3</v>
      </c>
      <c r="E550">
        <v>15</v>
      </c>
      <c r="F550">
        <v>2</v>
      </c>
      <c r="G550" t="s">
        <v>112</v>
      </c>
      <c r="H550">
        <v>6</v>
      </c>
      <c r="I550" t="s">
        <v>112</v>
      </c>
      <c r="J550">
        <v>25</v>
      </c>
      <c r="K550">
        <v>65</v>
      </c>
      <c r="L550">
        <v>0.7</v>
      </c>
      <c r="M550">
        <v>251</v>
      </c>
      <c r="N550">
        <v>628</v>
      </c>
      <c r="O550">
        <v>0.7</v>
      </c>
      <c r="P550">
        <v>67</v>
      </c>
      <c r="Q550">
        <v>141</v>
      </c>
      <c r="R550">
        <v>0.7</v>
      </c>
      <c r="S550">
        <v>1000000</v>
      </c>
      <c r="T550" t="s">
        <v>112</v>
      </c>
      <c r="U550" t="s">
        <v>1026</v>
      </c>
      <c r="W550">
        <v>425</v>
      </c>
      <c r="X550" t="b">
        <v>0</v>
      </c>
    </row>
    <row r="551" spans="1:24" x14ac:dyDescent="0.25">
      <c r="A551">
        <v>550</v>
      </c>
      <c r="B551" t="s">
        <v>1032</v>
      </c>
      <c r="C551">
        <v>3</v>
      </c>
      <c r="D551">
        <v>7</v>
      </c>
      <c r="E551">
        <v>50</v>
      </c>
      <c r="F551">
        <v>2</v>
      </c>
      <c r="G551" t="s">
        <v>112</v>
      </c>
      <c r="H551">
        <v>6</v>
      </c>
      <c r="I551" t="s">
        <v>112</v>
      </c>
      <c r="J551">
        <v>52</v>
      </c>
      <c r="K551">
        <v>120</v>
      </c>
      <c r="L551">
        <v>0.7</v>
      </c>
      <c r="M551">
        <v>565</v>
      </c>
      <c r="N551">
        <v>1187</v>
      </c>
      <c r="O551">
        <v>0.7</v>
      </c>
      <c r="P551">
        <v>127</v>
      </c>
      <c r="Q551">
        <v>191</v>
      </c>
      <c r="R551">
        <v>0.7</v>
      </c>
      <c r="S551">
        <v>1000000</v>
      </c>
      <c r="T551" t="s">
        <v>1028</v>
      </c>
      <c r="U551" t="s">
        <v>1026</v>
      </c>
      <c r="W551">
        <v>500</v>
      </c>
      <c r="X551" t="b">
        <v>0</v>
      </c>
    </row>
    <row r="552" spans="1:24" x14ac:dyDescent="0.25">
      <c r="A552">
        <v>551</v>
      </c>
      <c r="B552" t="s">
        <v>1033</v>
      </c>
      <c r="C552">
        <v>2</v>
      </c>
      <c r="D552">
        <v>3</v>
      </c>
      <c r="E552">
        <v>15</v>
      </c>
      <c r="F552">
        <v>3</v>
      </c>
      <c r="G552" t="s">
        <v>112</v>
      </c>
      <c r="H552">
        <v>6</v>
      </c>
      <c r="I552" t="s">
        <v>112</v>
      </c>
      <c r="J552">
        <v>22</v>
      </c>
      <c r="K552">
        <v>57</v>
      </c>
      <c r="L552">
        <v>0.7</v>
      </c>
      <c r="M552">
        <v>251</v>
      </c>
      <c r="N552">
        <v>628</v>
      </c>
      <c r="O552">
        <v>0.7</v>
      </c>
      <c r="P552">
        <v>68</v>
      </c>
      <c r="Q552">
        <v>143</v>
      </c>
      <c r="R552">
        <v>0.7</v>
      </c>
      <c r="S552">
        <v>1000000</v>
      </c>
      <c r="T552" t="s">
        <v>112</v>
      </c>
      <c r="U552" t="s">
        <v>1026</v>
      </c>
      <c r="W552">
        <v>425</v>
      </c>
      <c r="X552" t="b">
        <v>0</v>
      </c>
    </row>
    <row r="553" spans="1:24" x14ac:dyDescent="0.25">
      <c r="A553">
        <v>552</v>
      </c>
      <c r="B553" t="s">
        <v>1034</v>
      </c>
      <c r="C553">
        <v>3</v>
      </c>
      <c r="D553">
        <v>7</v>
      </c>
      <c r="E553">
        <v>50</v>
      </c>
      <c r="F553">
        <v>3</v>
      </c>
      <c r="G553" t="s">
        <v>112</v>
      </c>
      <c r="H553">
        <v>6</v>
      </c>
      <c r="I553" t="s">
        <v>112</v>
      </c>
      <c r="J553">
        <v>46</v>
      </c>
      <c r="K553">
        <v>106</v>
      </c>
      <c r="L553">
        <v>0.7</v>
      </c>
      <c r="M553">
        <v>565</v>
      </c>
      <c r="N553">
        <v>1187</v>
      </c>
      <c r="O553">
        <v>0.7</v>
      </c>
      <c r="P553">
        <v>129</v>
      </c>
      <c r="Q553">
        <v>194</v>
      </c>
      <c r="R553">
        <v>0.7</v>
      </c>
      <c r="S553">
        <v>1000000</v>
      </c>
      <c r="T553" t="s">
        <v>1028</v>
      </c>
      <c r="U553" t="s">
        <v>1026</v>
      </c>
      <c r="W553">
        <v>500</v>
      </c>
      <c r="X553" t="b">
        <v>0</v>
      </c>
    </row>
    <row r="554" spans="1:24" x14ac:dyDescent="0.25">
      <c r="A554">
        <v>553</v>
      </c>
      <c r="B554" t="s">
        <v>1035</v>
      </c>
      <c r="C554">
        <v>2</v>
      </c>
      <c r="D554">
        <v>3</v>
      </c>
      <c r="E554">
        <v>15</v>
      </c>
      <c r="F554">
        <v>4</v>
      </c>
      <c r="G554" t="s">
        <v>112</v>
      </c>
      <c r="H554">
        <v>6</v>
      </c>
      <c r="I554" t="s">
        <v>112</v>
      </c>
      <c r="J554">
        <v>24</v>
      </c>
      <c r="K554">
        <v>62</v>
      </c>
      <c r="L554">
        <v>0.7</v>
      </c>
      <c r="M554">
        <v>253</v>
      </c>
      <c r="N554">
        <v>633</v>
      </c>
      <c r="O554">
        <v>0.7</v>
      </c>
      <c r="P554">
        <v>62</v>
      </c>
      <c r="Q554">
        <v>130</v>
      </c>
      <c r="R554">
        <v>0.7</v>
      </c>
      <c r="S554">
        <v>1000000</v>
      </c>
      <c r="T554" t="s">
        <v>112</v>
      </c>
      <c r="U554" t="s">
        <v>1026</v>
      </c>
      <c r="W554">
        <v>425</v>
      </c>
      <c r="X554" t="b">
        <v>0</v>
      </c>
    </row>
    <row r="555" spans="1:24" x14ac:dyDescent="0.25">
      <c r="A555">
        <v>554</v>
      </c>
      <c r="B555" t="s">
        <v>1036</v>
      </c>
      <c r="C555">
        <v>3</v>
      </c>
      <c r="D555">
        <v>7</v>
      </c>
      <c r="E555">
        <v>50</v>
      </c>
      <c r="F555">
        <v>4</v>
      </c>
      <c r="G555" t="s">
        <v>112</v>
      </c>
      <c r="H555">
        <v>6</v>
      </c>
      <c r="I555" t="s">
        <v>112</v>
      </c>
      <c r="J555">
        <v>50</v>
      </c>
      <c r="K555">
        <v>115</v>
      </c>
      <c r="L555">
        <v>0.7</v>
      </c>
      <c r="M555">
        <v>570</v>
      </c>
      <c r="N555">
        <v>1197</v>
      </c>
      <c r="O555">
        <v>0.7</v>
      </c>
      <c r="P555">
        <v>117</v>
      </c>
      <c r="Q555">
        <v>176</v>
      </c>
      <c r="R555">
        <v>0.7</v>
      </c>
      <c r="S555">
        <v>1000000</v>
      </c>
      <c r="T555" t="s">
        <v>1028</v>
      </c>
      <c r="U555" t="s">
        <v>1026</v>
      </c>
      <c r="W555">
        <v>500</v>
      </c>
      <c r="X555" t="b">
        <v>0</v>
      </c>
    </row>
    <row r="556" spans="1:24" x14ac:dyDescent="0.25">
      <c r="A556">
        <v>555</v>
      </c>
      <c r="B556" t="s">
        <v>1037</v>
      </c>
      <c r="C556">
        <v>5</v>
      </c>
      <c r="D556">
        <v>12</v>
      </c>
      <c r="E556">
        <v>50</v>
      </c>
      <c r="F556">
        <v>0</v>
      </c>
      <c r="G556" t="s">
        <v>112</v>
      </c>
      <c r="H556">
        <v>1</v>
      </c>
      <c r="I556" t="s">
        <v>112</v>
      </c>
      <c r="J556">
        <v>293</v>
      </c>
      <c r="K556">
        <v>1319</v>
      </c>
      <c r="L556">
        <v>1</v>
      </c>
      <c r="M556">
        <v>145</v>
      </c>
      <c r="N556">
        <v>595</v>
      </c>
      <c r="O556">
        <v>1</v>
      </c>
      <c r="P556">
        <v>109</v>
      </c>
      <c r="Q556">
        <v>207</v>
      </c>
      <c r="R556">
        <v>1</v>
      </c>
      <c r="S556">
        <v>1500000</v>
      </c>
      <c r="T556" t="s">
        <v>1038</v>
      </c>
      <c r="U556" t="s">
        <v>1039</v>
      </c>
      <c r="W556">
        <v>637.5</v>
      </c>
      <c r="X556" t="b">
        <v>0</v>
      </c>
    </row>
    <row r="557" spans="1:24" x14ac:dyDescent="0.25">
      <c r="A557">
        <v>556</v>
      </c>
      <c r="B557" t="s">
        <v>2219</v>
      </c>
      <c r="C557">
        <v>6</v>
      </c>
      <c r="D557">
        <v>17</v>
      </c>
      <c r="E557">
        <v>99</v>
      </c>
      <c r="F557">
        <v>0</v>
      </c>
      <c r="G557" t="s">
        <v>112</v>
      </c>
      <c r="H557">
        <v>1</v>
      </c>
      <c r="I557" t="s">
        <v>112</v>
      </c>
      <c r="J557">
        <v>1055</v>
      </c>
      <c r="K557">
        <v>2638</v>
      </c>
      <c r="L557">
        <v>1</v>
      </c>
      <c r="M557">
        <v>536</v>
      </c>
      <c r="N557">
        <v>1340</v>
      </c>
      <c r="O557">
        <v>1</v>
      </c>
      <c r="P557">
        <v>186</v>
      </c>
      <c r="Q557">
        <v>353</v>
      </c>
      <c r="R557">
        <v>1</v>
      </c>
      <c r="S557">
        <v>4000000</v>
      </c>
      <c r="T557" t="s">
        <v>1041</v>
      </c>
      <c r="U557" t="s">
        <v>1039</v>
      </c>
      <c r="V557" t="s">
        <v>1040</v>
      </c>
      <c r="W557">
        <v>862.5</v>
      </c>
      <c r="X557" t="b">
        <v>0</v>
      </c>
    </row>
    <row r="558" spans="1:24" x14ac:dyDescent="0.25">
      <c r="A558">
        <v>557</v>
      </c>
      <c r="B558" t="s">
        <v>1042</v>
      </c>
      <c r="C558">
        <v>5</v>
      </c>
      <c r="D558">
        <v>12</v>
      </c>
      <c r="E558">
        <v>50</v>
      </c>
      <c r="F558">
        <v>1</v>
      </c>
      <c r="G558" t="s">
        <v>112</v>
      </c>
      <c r="H558">
        <v>3</v>
      </c>
      <c r="I558" t="s">
        <v>112</v>
      </c>
      <c r="J558">
        <v>252</v>
      </c>
      <c r="K558">
        <v>1109</v>
      </c>
      <c r="L558">
        <v>1</v>
      </c>
      <c r="M558">
        <v>109</v>
      </c>
      <c r="N558">
        <v>491</v>
      </c>
      <c r="O558">
        <v>1</v>
      </c>
      <c r="P558">
        <v>209</v>
      </c>
      <c r="Q558">
        <v>397</v>
      </c>
      <c r="R558">
        <v>1</v>
      </c>
      <c r="S558">
        <v>1500000</v>
      </c>
      <c r="T558" t="s">
        <v>1043</v>
      </c>
      <c r="U558" t="s">
        <v>1044</v>
      </c>
      <c r="W558">
        <v>637.5</v>
      </c>
      <c r="X558" t="b">
        <v>0</v>
      </c>
    </row>
    <row r="559" spans="1:24" x14ac:dyDescent="0.25">
      <c r="A559">
        <v>558</v>
      </c>
      <c r="B559" t="s">
        <v>2220</v>
      </c>
      <c r="C559">
        <v>6</v>
      </c>
      <c r="D559">
        <v>17</v>
      </c>
      <c r="E559">
        <v>99</v>
      </c>
      <c r="F559">
        <v>1</v>
      </c>
      <c r="G559" t="s">
        <v>112</v>
      </c>
      <c r="H559">
        <v>3</v>
      </c>
      <c r="I559" t="s">
        <v>112</v>
      </c>
      <c r="J559">
        <v>887</v>
      </c>
      <c r="K559">
        <v>2129</v>
      </c>
      <c r="L559">
        <v>1</v>
      </c>
      <c r="M559">
        <v>442</v>
      </c>
      <c r="N559">
        <v>1105</v>
      </c>
      <c r="O559">
        <v>1</v>
      </c>
      <c r="P559">
        <v>357</v>
      </c>
      <c r="Q559">
        <v>678</v>
      </c>
      <c r="R559">
        <v>1</v>
      </c>
      <c r="S559">
        <v>4000000</v>
      </c>
      <c r="T559" t="s">
        <v>1046</v>
      </c>
      <c r="U559" t="s">
        <v>1044</v>
      </c>
      <c r="V559" t="s">
        <v>1045</v>
      </c>
      <c r="W559">
        <v>862.5</v>
      </c>
      <c r="X559" t="b">
        <v>0</v>
      </c>
    </row>
    <row r="560" spans="1:24" x14ac:dyDescent="0.25">
      <c r="A560">
        <v>559</v>
      </c>
      <c r="B560" t="s">
        <v>1047</v>
      </c>
      <c r="C560">
        <v>5</v>
      </c>
      <c r="D560">
        <v>12</v>
      </c>
      <c r="E560">
        <v>50</v>
      </c>
      <c r="F560">
        <v>2</v>
      </c>
      <c r="G560" t="s">
        <v>112</v>
      </c>
      <c r="H560">
        <v>6</v>
      </c>
      <c r="I560" t="s">
        <v>112</v>
      </c>
      <c r="J560">
        <v>333</v>
      </c>
      <c r="K560">
        <v>999</v>
      </c>
      <c r="L560">
        <v>1</v>
      </c>
      <c r="M560">
        <v>200</v>
      </c>
      <c r="N560">
        <v>640</v>
      </c>
      <c r="O560">
        <v>1</v>
      </c>
      <c r="P560">
        <v>55</v>
      </c>
      <c r="Q560">
        <v>116</v>
      </c>
      <c r="R560">
        <v>1</v>
      </c>
      <c r="S560">
        <v>1500000</v>
      </c>
      <c r="T560" t="s">
        <v>1048</v>
      </c>
      <c r="U560" t="s">
        <v>1049</v>
      </c>
      <c r="W560">
        <v>637.5</v>
      </c>
      <c r="X560" t="b">
        <v>0</v>
      </c>
    </row>
    <row r="561" spans="1:24" x14ac:dyDescent="0.25">
      <c r="A561">
        <v>560</v>
      </c>
      <c r="B561" t="s">
        <v>2221</v>
      </c>
      <c r="C561">
        <v>6</v>
      </c>
      <c r="D561">
        <v>17</v>
      </c>
      <c r="E561">
        <v>99</v>
      </c>
      <c r="F561">
        <v>2</v>
      </c>
      <c r="G561" t="s">
        <v>112</v>
      </c>
      <c r="H561">
        <v>6</v>
      </c>
      <c r="I561" t="s">
        <v>112</v>
      </c>
      <c r="J561">
        <v>799</v>
      </c>
      <c r="K561">
        <v>2397</v>
      </c>
      <c r="L561">
        <v>1</v>
      </c>
      <c r="M561">
        <v>576</v>
      </c>
      <c r="N561">
        <v>1786</v>
      </c>
      <c r="O561">
        <v>1</v>
      </c>
      <c r="P561">
        <v>104</v>
      </c>
      <c r="Q561">
        <v>156</v>
      </c>
      <c r="R561">
        <v>1</v>
      </c>
      <c r="S561">
        <v>4000000</v>
      </c>
      <c r="T561" t="s">
        <v>1051</v>
      </c>
      <c r="U561" t="s">
        <v>1049</v>
      </c>
      <c r="V561" t="s">
        <v>1050</v>
      </c>
      <c r="W561">
        <v>862.5</v>
      </c>
      <c r="X561" t="b">
        <v>0</v>
      </c>
    </row>
    <row r="562" spans="1:24" x14ac:dyDescent="0.25">
      <c r="A562">
        <v>561</v>
      </c>
      <c r="B562" t="s">
        <v>1052</v>
      </c>
      <c r="C562">
        <v>5</v>
      </c>
      <c r="D562">
        <v>12</v>
      </c>
      <c r="E562">
        <v>50</v>
      </c>
      <c r="F562">
        <v>3</v>
      </c>
      <c r="G562" t="s">
        <v>112</v>
      </c>
      <c r="H562">
        <v>2</v>
      </c>
      <c r="I562" t="s">
        <v>112</v>
      </c>
      <c r="J562">
        <v>519</v>
      </c>
      <c r="K562">
        <v>1557</v>
      </c>
      <c r="L562">
        <v>1</v>
      </c>
      <c r="M562">
        <v>147</v>
      </c>
      <c r="N562">
        <v>470</v>
      </c>
      <c r="O562">
        <v>1</v>
      </c>
      <c r="P562">
        <v>14</v>
      </c>
      <c r="Q562">
        <v>29</v>
      </c>
      <c r="R562">
        <v>1</v>
      </c>
      <c r="S562">
        <v>1500000</v>
      </c>
      <c r="T562" t="s">
        <v>1053</v>
      </c>
      <c r="U562" t="s">
        <v>1054</v>
      </c>
      <c r="W562">
        <v>637.5</v>
      </c>
      <c r="X562" t="b">
        <v>0</v>
      </c>
    </row>
    <row r="563" spans="1:24" x14ac:dyDescent="0.25">
      <c r="A563">
        <v>562</v>
      </c>
      <c r="B563" t="s">
        <v>2222</v>
      </c>
      <c r="C563">
        <v>6</v>
      </c>
      <c r="D563">
        <v>17</v>
      </c>
      <c r="E563">
        <v>99</v>
      </c>
      <c r="F563">
        <v>3</v>
      </c>
      <c r="G563" t="s">
        <v>112</v>
      </c>
      <c r="H563">
        <v>2</v>
      </c>
      <c r="I563" t="s">
        <v>112</v>
      </c>
      <c r="J563">
        <v>1246</v>
      </c>
      <c r="K563">
        <v>3738</v>
      </c>
      <c r="L563">
        <v>1</v>
      </c>
      <c r="M563">
        <v>423</v>
      </c>
      <c r="N563">
        <v>1311</v>
      </c>
      <c r="O563">
        <v>1</v>
      </c>
      <c r="P563">
        <v>26</v>
      </c>
      <c r="Q563">
        <v>39</v>
      </c>
      <c r="R563">
        <v>1</v>
      </c>
      <c r="S563">
        <v>4000000</v>
      </c>
      <c r="T563" t="s">
        <v>1056</v>
      </c>
      <c r="U563" t="s">
        <v>1054</v>
      </c>
      <c r="V563" t="s">
        <v>1055</v>
      </c>
      <c r="W563">
        <v>862.5</v>
      </c>
      <c r="X563" t="b">
        <v>0</v>
      </c>
    </row>
    <row r="564" spans="1:24" x14ac:dyDescent="0.25">
      <c r="A564">
        <v>563</v>
      </c>
      <c r="B564" t="s">
        <v>1057</v>
      </c>
      <c r="C564">
        <v>5</v>
      </c>
      <c r="D564">
        <v>12</v>
      </c>
      <c r="E564">
        <v>50</v>
      </c>
      <c r="F564">
        <v>4</v>
      </c>
      <c r="G564" t="s">
        <v>112</v>
      </c>
      <c r="H564">
        <v>6</v>
      </c>
      <c r="I564" t="s">
        <v>112</v>
      </c>
      <c r="J564">
        <v>193</v>
      </c>
      <c r="K564">
        <v>579</v>
      </c>
      <c r="L564">
        <v>1</v>
      </c>
      <c r="M564">
        <v>196</v>
      </c>
      <c r="N564">
        <v>627</v>
      </c>
      <c r="O564">
        <v>1</v>
      </c>
      <c r="P564">
        <v>169</v>
      </c>
      <c r="Q564">
        <v>355</v>
      </c>
      <c r="R564">
        <v>1</v>
      </c>
      <c r="S564">
        <v>1500000</v>
      </c>
      <c r="T564" t="s">
        <v>1058</v>
      </c>
      <c r="U564" t="s">
        <v>1059</v>
      </c>
      <c r="W564">
        <v>637.5</v>
      </c>
      <c r="X564" t="b">
        <v>0</v>
      </c>
    </row>
    <row r="565" spans="1:24" x14ac:dyDescent="0.25">
      <c r="A565">
        <v>564</v>
      </c>
      <c r="B565" t="s">
        <v>2223</v>
      </c>
      <c r="C565">
        <v>6</v>
      </c>
      <c r="D565">
        <v>17</v>
      </c>
      <c r="E565">
        <v>99</v>
      </c>
      <c r="F565">
        <v>4</v>
      </c>
      <c r="G565" t="s">
        <v>112</v>
      </c>
      <c r="H565">
        <v>6</v>
      </c>
      <c r="I565" t="s">
        <v>112</v>
      </c>
      <c r="J565">
        <v>463</v>
      </c>
      <c r="K565">
        <v>1389</v>
      </c>
      <c r="L565">
        <v>1</v>
      </c>
      <c r="M565">
        <v>564</v>
      </c>
      <c r="N565">
        <v>1748</v>
      </c>
      <c r="O565">
        <v>1</v>
      </c>
      <c r="P565">
        <v>320</v>
      </c>
      <c r="Q565">
        <v>480</v>
      </c>
      <c r="R565">
        <v>1</v>
      </c>
      <c r="S565">
        <v>4000000</v>
      </c>
      <c r="T565" t="s">
        <v>1061</v>
      </c>
      <c r="U565" t="s">
        <v>1059</v>
      </c>
      <c r="V565" t="s">
        <v>1060</v>
      </c>
      <c r="W565">
        <v>862.5</v>
      </c>
      <c r="X565" t="b">
        <v>0</v>
      </c>
    </row>
    <row r="566" spans="1:24" x14ac:dyDescent="0.25">
      <c r="A566">
        <v>565</v>
      </c>
      <c r="B566" t="s">
        <v>1062</v>
      </c>
      <c r="C566">
        <v>6</v>
      </c>
      <c r="D566">
        <v>25</v>
      </c>
      <c r="E566">
        <v>50</v>
      </c>
      <c r="F566">
        <v>0</v>
      </c>
      <c r="G566" t="s">
        <v>112</v>
      </c>
      <c r="H566">
        <v>2</v>
      </c>
      <c r="I566" t="s">
        <v>112</v>
      </c>
      <c r="J566">
        <v>1225</v>
      </c>
      <c r="K566">
        <v>2573</v>
      </c>
      <c r="L566">
        <v>1</v>
      </c>
      <c r="M566">
        <v>666</v>
      </c>
      <c r="N566">
        <v>932</v>
      </c>
      <c r="O566">
        <v>1</v>
      </c>
      <c r="P566">
        <v>67</v>
      </c>
      <c r="Q566">
        <v>127</v>
      </c>
      <c r="R566">
        <v>1</v>
      </c>
      <c r="S566">
        <v>4000000</v>
      </c>
      <c r="T566" t="s">
        <v>1063</v>
      </c>
      <c r="U566" t="s">
        <v>1064</v>
      </c>
      <c r="W566">
        <v>1162.5</v>
      </c>
      <c r="X566" t="b">
        <v>0</v>
      </c>
    </row>
    <row r="567" spans="1:24" x14ac:dyDescent="0.25">
      <c r="A567">
        <v>566</v>
      </c>
      <c r="B567" t="s">
        <v>1065</v>
      </c>
      <c r="C567">
        <v>7</v>
      </c>
      <c r="D567">
        <v>45</v>
      </c>
      <c r="E567">
        <v>99</v>
      </c>
      <c r="F567">
        <v>0</v>
      </c>
      <c r="G567" t="s">
        <v>112</v>
      </c>
      <c r="H567">
        <v>2</v>
      </c>
      <c r="I567" t="s">
        <v>112</v>
      </c>
      <c r="J567">
        <v>2058</v>
      </c>
      <c r="K567">
        <v>4528</v>
      </c>
      <c r="L567">
        <v>1</v>
      </c>
      <c r="M567">
        <v>839</v>
      </c>
      <c r="N567">
        <v>1259</v>
      </c>
      <c r="O567">
        <v>1</v>
      </c>
      <c r="P567">
        <v>114</v>
      </c>
      <c r="Q567">
        <v>217</v>
      </c>
      <c r="R567">
        <v>1</v>
      </c>
      <c r="S567">
        <v>4000000</v>
      </c>
      <c r="T567" t="s">
        <v>1063</v>
      </c>
      <c r="U567" t="s">
        <v>1064</v>
      </c>
      <c r="V567" t="s">
        <v>1066</v>
      </c>
      <c r="W567">
        <v>1950</v>
      </c>
      <c r="X567" t="b">
        <v>0</v>
      </c>
    </row>
    <row r="568" spans="1:24" x14ac:dyDescent="0.25">
      <c r="A568">
        <v>567</v>
      </c>
      <c r="B568" t="s">
        <v>1067</v>
      </c>
      <c r="C568">
        <v>5</v>
      </c>
      <c r="D568">
        <v>20</v>
      </c>
      <c r="E568">
        <v>50</v>
      </c>
      <c r="F568">
        <v>0</v>
      </c>
      <c r="G568" t="s">
        <v>112</v>
      </c>
      <c r="H568">
        <v>5</v>
      </c>
      <c r="I568" t="s">
        <v>112</v>
      </c>
      <c r="J568">
        <v>398</v>
      </c>
      <c r="K568">
        <v>876</v>
      </c>
      <c r="L568">
        <v>1</v>
      </c>
      <c r="M568">
        <v>720</v>
      </c>
      <c r="N568">
        <v>1440</v>
      </c>
      <c r="O568">
        <v>1</v>
      </c>
      <c r="P568">
        <v>0</v>
      </c>
      <c r="Q568">
        <v>0</v>
      </c>
      <c r="R568">
        <v>1</v>
      </c>
      <c r="S568">
        <v>4000000</v>
      </c>
      <c r="T568" t="s">
        <v>121</v>
      </c>
      <c r="U568" t="s">
        <v>1068</v>
      </c>
      <c r="W568">
        <v>937.5</v>
      </c>
      <c r="X568" t="b">
        <v>0</v>
      </c>
    </row>
    <row r="569" spans="1:24" x14ac:dyDescent="0.25">
      <c r="A569">
        <v>568</v>
      </c>
      <c r="B569" t="s">
        <v>1069</v>
      </c>
      <c r="C569">
        <v>6</v>
      </c>
      <c r="D569">
        <v>25</v>
      </c>
      <c r="E569">
        <v>99</v>
      </c>
      <c r="F569">
        <v>0</v>
      </c>
      <c r="G569" t="s">
        <v>112</v>
      </c>
      <c r="H569">
        <v>5</v>
      </c>
      <c r="I569" t="s">
        <v>112</v>
      </c>
      <c r="J569">
        <v>701</v>
      </c>
      <c r="K569">
        <v>1612</v>
      </c>
      <c r="L569">
        <v>1</v>
      </c>
      <c r="M569">
        <v>1296</v>
      </c>
      <c r="N569">
        <v>1944</v>
      </c>
      <c r="O569">
        <v>1</v>
      </c>
      <c r="P569">
        <v>0</v>
      </c>
      <c r="Q569">
        <v>0</v>
      </c>
      <c r="R569">
        <v>1</v>
      </c>
      <c r="S569">
        <v>4000000</v>
      </c>
      <c r="T569" t="s">
        <v>1070</v>
      </c>
      <c r="U569" t="s">
        <v>1068</v>
      </c>
      <c r="V569" t="s">
        <v>2224</v>
      </c>
      <c r="W569">
        <v>1162.5</v>
      </c>
      <c r="X569" t="b">
        <v>0</v>
      </c>
    </row>
    <row r="570" spans="1:24" x14ac:dyDescent="0.25">
      <c r="A570">
        <v>569</v>
      </c>
      <c r="B570" t="s">
        <v>1071</v>
      </c>
      <c r="C570">
        <v>5</v>
      </c>
      <c r="D570">
        <v>20</v>
      </c>
      <c r="E570">
        <v>50</v>
      </c>
      <c r="F570">
        <v>1</v>
      </c>
      <c r="G570" t="s">
        <v>112</v>
      </c>
      <c r="H570">
        <v>5</v>
      </c>
      <c r="I570" t="s">
        <v>112</v>
      </c>
      <c r="J570">
        <v>420</v>
      </c>
      <c r="K570">
        <v>924</v>
      </c>
      <c r="L570">
        <v>1</v>
      </c>
      <c r="M570">
        <v>518</v>
      </c>
      <c r="N570">
        <v>1036</v>
      </c>
      <c r="O570">
        <v>1</v>
      </c>
      <c r="P570">
        <v>56</v>
      </c>
      <c r="Q570">
        <v>101</v>
      </c>
      <c r="R570">
        <v>1</v>
      </c>
      <c r="S570">
        <v>4000000</v>
      </c>
      <c r="T570" t="s">
        <v>129</v>
      </c>
      <c r="U570" t="s">
        <v>1072</v>
      </c>
      <c r="W570">
        <v>937.5</v>
      </c>
      <c r="X570" t="b">
        <v>0</v>
      </c>
    </row>
    <row r="571" spans="1:24" x14ac:dyDescent="0.25">
      <c r="A571">
        <v>570</v>
      </c>
      <c r="B571" t="s">
        <v>1073</v>
      </c>
      <c r="C571">
        <v>6</v>
      </c>
      <c r="D571">
        <v>25</v>
      </c>
      <c r="E571">
        <v>99</v>
      </c>
      <c r="F571">
        <v>1</v>
      </c>
      <c r="G571" t="s">
        <v>112</v>
      </c>
      <c r="H571">
        <v>5</v>
      </c>
      <c r="I571" t="s">
        <v>112</v>
      </c>
      <c r="J571">
        <v>739</v>
      </c>
      <c r="K571">
        <v>1774</v>
      </c>
      <c r="L571">
        <v>1</v>
      </c>
      <c r="M571">
        <v>932</v>
      </c>
      <c r="N571">
        <v>1398</v>
      </c>
      <c r="O571">
        <v>1</v>
      </c>
      <c r="P571">
        <v>91</v>
      </c>
      <c r="Q571">
        <v>164</v>
      </c>
      <c r="R571">
        <v>1</v>
      </c>
      <c r="S571">
        <v>4000000</v>
      </c>
      <c r="T571" t="s">
        <v>1074</v>
      </c>
      <c r="U571" t="s">
        <v>1072</v>
      </c>
      <c r="V571" t="s">
        <v>2225</v>
      </c>
      <c r="W571">
        <v>1162.5</v>
      </c>
      <c r="X571" t="b">
        <v>0</v>
      </c>
    </row>
    <row r="572" spans="1:24" x14ac:dyDescent="0.25">
      <c r="A572">
        <v>571</v>
      </c>
      <c r="B572" t="s">
        <v>1075</v>
      </c>
      <c r="C572">
        <v>5</v>
      </c>
      <c r="D572">
        <v>20</v>
      </c>
      <c r="E572">
        <v>50</v>
      </c>
      <c r="F572">
        <v>2</v>
      </c>
      <c r="G572" t="s">
        <v>112</v>
      </c>
      <c r="H572">
        <v>5</v>
      </c>
      <c r="I572" t="s">
        <v>112</v>
      </c>
      <c r="J572">
        <v>412</v>
      </c>
      <c r="K572">
        <v>906</v>
      </c>
      <c r="L572">
        <v>1</v>
      </c>
      <c r="M572">
        <v>524</v>
      </c>
      <c r="N572">
        <v>1048</v>
      </c>
      <c r="O572">
        <v>1</v>
      </c>
      <c r="P572">
        <v>59</v>
      </c>
      <c r="Q572">
        <v>106</v>
      </c>
      <c r="R572">
        <v>1</v>
      </c>
      <c r="S572">
        <v>4000000</v>
      </c>
      <c r="T572" t="s">
        <v>137</v>
      </c>
      <c r="U572" t="s">
        <v>1076</v>
      </c>
      <c r="W572">
        <v>937.5</v>
      </c>
      <c r="X572" t="b">
        <v>0</v>
      </c>
    </row>
    <row r="573" spans="1:24" x14ac:dyDescent="0.25">
      <c r="A573">
        <v>572</v>
      </c>
      <c r="B573" t="s">
        <v>1077</v>
      </c>
      <c r="C573">
        <v>6</v>
      </c>
      <c r="D573">
        <v>25</v>
      </c>
      <c r="E573">
        <v>99</v>
      </c>
      <c r="F573">
        <v>2</v>
      </c>
      <c r="G573" t="s">
        <v>112</v>
      </c>
      <c r="H573">
        <v>5</v>
      </c>
      <c r="I573" t="s">
        <v>112</v>
      </c>
      <c r="J573">
        <v>725</v>
      </c>
      <c r="K573">
        <v>1740</v>
      </c>
      <c r="L573">
        <v>1</v>
      </c>
      <c r="M573">
        <v>943</v>
      </c>
      <c r="N573">
        <v>1415</v>
      </c>
      <c r="O573">
        <v>1</v>
      </c>
      <c r="P573">
        <v>95</v>
      </c>
      <c r="Q573">
        <v>171</v>
      </c>
      <c r="R573">
        <v>1</v>
      </c>
      <c r="S573">
        <v>4000000</v>
      </c>
      <c r="T573" t="s">
        <v>1078</v>
      </c>
      <c r="U573" t="s">
        <v>1076</v>
      </c>
      <c r="V573" t="s">
        <v>2226</v>
      </c>
      <c r="W573">
        <v>1162.5</v>
      </c>
      <c r="X573" t="b">
        <v>0</v>
      </c>
    </row>
    <row r="574" spans="1:24" x14ac:dyDescent="0.25">
      <c r="A574">
        <v>573</v>
      </c>
      <c r="B574" t="s">
        <v>1079</v>
      </c>
      <c r="C574">
        <v>5</v>
      </c>
      <c r="D574">
        <v>20</v>
      </c>
      <c r="E574">
        <v>50</v>
      </c>
      <c r="F574">
        <v>3</v>
      </c>
      <c r="G574" t="s">
        <v>112</v>
      </c>
      <c r="H574">
        <v>5</v>
      </c>
      <c r="I574" t="s">
        <v>112</v>
      </c>
      <c r="J574">
        <v>579</v>
      </c>
      <c r="K574">
        <v>1390</v>
      </c>
      <c r="L574">
        <v>1</v>
      </c>
      <c r="M574">
        <v>501</v>
      </c>
      <c r="N574">
        <v>1002</v>
      </c>
      <c r="O574">
        <v>1</v>
      </c>
      <c r="P574">
        <v>143</v>
      </c>
      <c r="Q574">
        <v>257</v>
      </c>
      <c r="R574">
        <v>1</v>
      </c>
      <c r="S574">
        <v>4000000</v>
      </c>
      <c r="T574" t="s">
        <v>716</v>
      </c>
      <c r="U574" t="s">
        <v>1080</v>
      </c>
      <c r="W574">
        <v>937.5</v>
      </c>
      <c r="X574" t="b">
        <v>0</v>
      </c>
    </row>
    <row r="575" spans="1:24" x14ac:dyDescent="0.25">
      <c r="A575">
        <v>574</v>
      </c>
      <c r="B575" t="s">
        <v>1081</v>
      </c>
      <c r="C575">
        <v>6</v>
      </c>
      <c r="D575">
        <v>25</v>
      </c>
      <c r="E575">
        <v>99</v>
      </c>
      <c r="F575">
        <v>3</v>
      </c>
      <c r="G575" t="s">
        <v>112</v>
      </c>
      <c r="H575">
        <v>5</v>
      </c>
      <c r="I575" t="s">
        <v>112</v>
      </c>
      <c r="J575">
        <v>1112</v>
      </c>
      <c r="K575">
        <v>2558</v>
      </c>
      <c r="L575">
        <v>1</v>
      </c>
      <c r="M575">
        <v>902</v>
      </c>
      <c r="N575">
        <v>1353</v>
      </c>
      <c r="O575">
        <v>1</v>
      </c>
      <c r="P575">
        <v>231</v>
      </c>
      <c r="Q575">
        <v>416</v>
      </c>
      <c r="R575">
        <v>1</v>
      </c>
      <c r="S575">
        <v>4000000</v>
      </c>
      <c r="T575" t="s">
        <v>1082</v>
      </c>
      <c r="U575" t="s">
        <v>1080</v>
      </c>
      <c r="V575" t="s">
        <v>2227</v>
      </c>
      <c r="W575">
        <v>1162.5</v>
      </c>
      <c r="X575" t="b">
        <v>0</v>
      </c>
    </row>
    <row r="576" spans="1:24" x14ac:dyDescent="0.25">
      <c r="A576">
        <v>575</v>
      </c>
      <c r="B576" t="s">
        <v>1083</v>
      </c>
      <c r="C576">
        <v>5</v>
      </c>
      <c r="D576">
        <v>20</v>
      </c>
      <c r="E576">
        <v>50</v>
      </c>
      <c r="F576">
        <v>4</v>
      </c>
      <c r="G576" t="s">
        <v>112</v>
      </c>
      <c r="H576">
        <v>5</v>
      </c>
      <c r="I576" t="s">
        <v>112</v>
      </c>
      <c r="J576">
        <v>666</v>
      </c>
      <c r="K576">
        <v>1598</v>
      </c>
      <c r="L576">
        <v>1</v>
      </c>
      <c r="M576">
        <v>444</v>
      </c>
      <c r="N576">
        <v>799</v>
      </c>
      <c r="O576">
        <v>1</v>
      </c>
      <c r="P576">
        <v>210</v>
      </c>
      <c r="Q576">
        <v>378</v>
      </c>
      <c r="R576">
        <v>1</v>
      </c>
      <c r="S576">
        <v>4000000</v>
      </c>
      <c r="T576" t="s">
        <v>721</v>
      </c>
      <c r="U576" t="s">
        <v>1084</v>
      </c>
      <c r="W576">
        <v>937.5</v>
      </c>
      <c r="X576" t="b">
        <v>0</v>
      </c>
    </row>
    <row r="577" spans="1:24" x14ac:dyDescent="0.25">
      <c r="A577">
        <v>576</v>
      </c>
      <c r="B577" t="s">
        <v>1085</v>
      </c>
      <c r="C577">
        <v>6</v>
      </c>
      <c r="D577">
        <v>25</v>
      </c>
      <c r="E577">
        <v>99</v>
      </c>
      <c r="F577">
        <v>4</v>
      </c>
      <c r="G577" t="s">
        <v>112</v>
      </c>
      <c r="H577">
        <v>5</v>
      </c>
      <c r="I577" t="s">
        <v>112</v>
      </c>
      <c r="J577">
        <v>1278</v>
      </c>
      <c r="K577">
        <v>2939</v>
      </c>
      <c r="L577">
        <v>1</v>
      </c>
      <c r="M577">
        <v>719</v>
      </c>
      <c r="N577">
        <v>1007</v>
      </c>
      <c r="O577">
        <v>1</v>
      </c>
      <c r="P577">
        <v>340</v>
      </c>
      <c r="Q577">
        <v>510</v>
      </c>
      <c r="R577">
        <v>1</v>
      </c>
      <c r="S577">
        <v>4000000</v>
      </c>
      <c r="T577" t="s">
        <v>1086</v>
      </c>
      <c r="U577" t="s">
        <v>1084</v>
      </c>
      <c r="V577" t="s">
        <v>2227</v>
      </c>
      <c r="W577">
        <v>1162.5</v>
      </c>
      <c r="X577" t="b">
        <v>0</v>
      </c>
    </row>
    <row r="578" spans="1:24" x14ac:dyDescent="0.25">
      <c r="A578">
        <v>577</v>
      </c>
      <c r="B578" t="s">
        <v>1087</v>
      </c>
      <c r="C578">
        <v>2</v>
      </c>
      <c r="D578">
        <v>3</v>
      </c>
      <c r="E578">
        <v>10</v>
      </c>
      <c r="F578">
        <v>3</v>
      </c>
      <c r="G578" t="s">
        <v>112</v>
      </c>
      <c r="H578">
        <v>14</v>
      </c>
      <c r="I578" t="s">
        <v>112</v>
      </c>
      <c r="J578">
        <v>51</v>
      </c>
      <c r="K578">
        <v>153</v>
      </c>
      <c r="L578">
        <v>0.7</v>
      </c>
      <c r="M578">
        <v>87</v>
      </c>
      <c r="N578">
        <v>174</v>
      </c>
      <c r="O578">
        <v>0.7</v>
      </c>
      <c r="P578">
        <v>102</v>
      </c>
      <c r="Q578">
        <v>204</v>
      </c>
      <c r="R578">
        <v>0.7</v>
      </c>
      <c r="S578">
        <v>1500000</v>
      </c>
      <c r="T578" t="s">
        <v>112</v>
      </c>
      <c r="U578" t="s">
        <v>112</v>
      </c>
      <c r="W578">
        <v>1200</v>
      </c>
      <c r="X578" t="b">
        <v>0</v>
      </c>
    </row>
    <row r="579" spans="1:24" x14ac:dyDescent="0.25">
      <c r="A579">
        <v>578</v>
      </c>
      <c r="B579" t="s">
        <v>1088</v>
      </c>
      <c r="C579">
        <v>2</v>
      </c>
      <c r="D579">
        <v>3</v>
      </c>
      <c r="E579">
        <v>10</v>
      </c>
      <c r="F579">
        <v>4</v>
      </c>
      <c r="G579" t="s">
        <v>112</v>
      </c>
      <c r="H579">
        <v>14</v>
      </c>
      <c r="I579" t="s">
        <v>112</v>
      </c>
      <c r="J579">
        <v>52</v>
      </c>
      <c r="K579">
        <v>156</v>
      </c>
      <c r="L579">
        <v>0.7</v>
      </c>
      <c r="M579">
        <v>86</v>
      </c>
      <c r="N579">
        <v>172</v>
      </c>
      <c r="O579">
        <v>0.7</v>
      </c>
      <c r="P579">
        <v>102</v>
      </c>
      <c r="Q579">
        <v>204</v>
      </c>
      <c r="R579">
        <v>0.7</v>
      </c>
      <c r="S579">
        <v>1500000</v>
      </c>
      <c r="T579" t="s">
        <v>112</v>
      </c>
      <c r="U579" t="s">
        <v>112</v>
      </c>
      <c r="W579">
        <v>1200</v>
      </c>
      <c r="X579" t="b">
        <v>0</v>
      </c>
    </row>
    <row r="580" spans="1:24" x14ac:dyDescent="0.25">
      <c r="A580">
        <v>579</v>
      </c>
      <c r="B580" t="s">
        <v>1089</v>
      </c>
      <c r="C580">
        <v>1</v>
      </c>
      <c r="D580">
        <v>2</v>
      </c>
      <c r="E580">
        <v>15</v>
      </c>
      <c r="F580">
        <v>0</v>
      </c>
      <c r="G580" t="s">
        <v>112</v>
      </c>
      <c r="H580">
        <v>6</v>
      </c>
      <c r="I580" t="s">
        <v>112</v>
      </c>
      <c r="J580">
        <v>58</v>
      </c>
      <c r="K580">
        <v>151</v>
      </c>
      <c r="L580">
        <v>1</v>
      </c>
      <c r="M580">
        <v>126</v>
      </c>
      <c r="N580">
        <v>315</v>
      </c>
      <c r="O580">
        <v>1</v>
      </c>
      <c r="P580">
        <v>20</v>
      </c>
      <c r="Q580">
        <v>42</v>
      </c>
      <c r="R580">
        <v>1</v>
      </c>
      <c r="S580">
        <v>1500000</v>
      </c>
      <c r="T580" t="s">
        <v>112</v>
      </c>
      <c r="U580" t="s">
        <v>112</v>
      </c>
      <c r="W580">
        <v>412.5</v>
      </c>
      <c r="X580" t="b">
        <v>0</v>
      </c>
    </row>
    <row r="581" spans="1:24" x14ac:dyDescent="0.25">
      <c r="A581">
        <v>580</v>
      </c>
      <c r="B581" t="s">
        <v>1090</v>
      </c>
      <c r="C581">
        <v>2</v>
      </c>
      <c r="D581">
        <v>5</v>
      </c>
      <c r="E581">
        <v>50</v>
      </c>
      <c r="F581">
        <v>0</v>
      </c>
      <c r="G581" t="s">
        <v>112</v>
      </c>
      <c r="H581">
        <v>6</v>
      </c>
      <c r="I581" t="s">
        <v>112</v>
      </c>
      <c r="J581">
        <v>121</v>
      </c>
      <c r="K581">
        <v>278</v>
      </c>
      <c r="L581">
        <v>1</v>
      </c>
      <c r="M581">
        <v>284</v>
      </c>
      <c r="N581">
        <v>596</v>
      </c>
      <c r="O581">
        <v>1</v>
      </c>
      <c r="P581">
        <v>38</v>
      </c>
      <c r="Q581">
        <v>57</v>
      </c>
      <c r="R581">
        <v>1</v>
      </c>
      <c r="S581">
        <v>1500000</v>
      </c>
      <c r="T581" t="s">
        <v>1091</v>
      </c>
      <c r="U581" t="s">
        <v>594</v>
      </c>
      <c r="W581">
        <v>475</v>
      </c>
      <c r="X581" t="b">
        <v>0</v>
      </c>
    </row>
    <row r="582" spans="1:24" x14ac:dyDescent="0.25">
      <c r="A582">
        <v>581</v>
      </c>
      <c r="B582" t="s">
        <v>1092</v>
      </c>
      <c r="C582">
        <v>1</v>
      </c>
      <c r="D582">
        <v>2</v>
      </c>
      <c r="E582">
        <v>15</v>
      </c>
      <c r="F582">
        <v>1</v>
      </c>
      <c r="G582" t="s">
        <v>112</v>
      </c>
      <c r="H582">
        <v>1</v>
      </c>
      <c r="I582" t="s">
        <v>112</v>
      </c>
      <c r="J582">
        <v>66</v>
      </c>
      <c r="K582">
        <v>205</v>
      </c>
      <c r="L582">
        <v>1</v>
      </c>
      <c r="M582">
        <v>75</v>
      </c>
      <c r="N582">
        <v>188</v>
      </c>
      <c r="O582">
        <v>1</v>
      </c>
      <c r="P582">
        <v>41</v>
      </c>
      <c r="Q582">
        <v>86</v>
      </c>
      <c r="R582">
        <v>1</v>
      </c>
      <c r="S582">
        <v>1500000</v>
      </c>
      <c r="T582" t="s">
        <v>112</v>
      </c>
      <c r="U582" t="s">
        <v>112</v>
      </c>
      <c r="W582">
        <v>412.5</v>
      </c>
      <c r="X582" t="b">
        <v>0</v>
      </c>
    </row>
    <row r="583" spans="1:24" x14ac:dyDescent="0.25">
      <c r="A583">
        <v>582</v>
      </c>
      <c r="B583" t="s">
        <v>1093</v>
      </c>
      <c r="C583">
        <v>2</v>
      </c>
      <c r="D583">
        <v>5</v>
      </c>
      <c r="E583">
        <v>50</v>
      </c>
      <c r="F583">
        <v>1</v>
      </c>
      <c r="G583" t="s">
        <v>112</v>
      </c>
      <c r="H583">
        <v>1</v>
      </c>
      <c r="I583" t="s">
        <v>112</v>
      </c>
      <c r="J583">
        <v>164</v>
      </c>
      <c r="K583">
        <v>508</v>
      </c>
      <c r="L583">
        <v>1</v>
      </c>
      <c r="M583">
        <v>169</v>
      </c>
      <c r="N583">
        <v>355</v>
      </c>
      <c r="O583">
        <v>1</v>
      </c>
      <c r="P583">
        <v>77</v>
      </c>
      <c r="Q583">
        <v>116</v>
      </c>
      <c r="R583">
        <v>1</v>
      </c>
      <c r="S583">
        <v>1500000</v>
      </c>
      <c r="T583" t="s">
        <v>1094</v>
      </c>
      <c r="U583" t="s">
        <v>590</v>
      </c>
      <c r="W583">
        <v>475</v>
      </c>
      <c r="X583" t="b">
        <v>0</v>
      </c>
    </row>
    <row r="584" spans="1:24" x14ac:dyDescent="0.25">
      <c r="A584">
        <v>583</v>
      </c>
      <c r="B584" t="s">
        <v>1095</v>
      </c>
      <c r="C584">
        <v>1</v>
      </c>
      <c r="D584">
        <v>2</v>
      </c>
      <c r="E584">
        <v>15</v>
      </c>
      <c r="F584">
        <v>2</v>
      </c>
      <c r="G584" t="s">
        <v>112</v>
      </c>
      <c r="H584">
        <v>2</v>
      </c>
      <c r="I584" t="s">
        <v>112</v>
      </c>
      <c r="J584">
        <v>104</v>
      </c>
      <c r="K584">
        <v>364</v>
      </c>
      <c r="L584">
        <v>1</v>
      </c>
      <c r="M584">
        <v>13</v>
      </c>
      <c r="N584">
        <v>33</v>
      </c>
      <c r="O584">
        <v>1</v>
      </c>
      <c r="P584">
        <v>62</v>
      </c>
      <c r="Q584">
        <v>130</v>
      </c>
      <c r="R584">
        <v>1</v>
      </c>
      <c r="S584">
        <v>1500000</v>
      </c>
      <c r="T584" t="s">
        <v>112</v>
      </c>
      <c r="U584" t="s">
        <v>112</v>
      </c>
      <c r="W584">
        <v>412.5</v>
      </c>
      <c r="X584" t="b">
        <v>0</v>
      </c>
    </row>
    <row r="585" spans="1:24" x14ac:dyDescent="0.25">
      <c r="A585">
        <v>584</v>
      </c>
      <c r="B585" t="s">
        <v>1096</v>
      </c>
      <c r="C585">
        <v>2</v>
      </c>
      <c r="D585">
        <v>5</v>
      </c>
      <c r="E585">
        <v>50</v>
      </c>
      <c r="F585">
        <v>2</v>
      </c>
      <c r="G585" t="s">
        <v>112</v>
      </c>
      <c r="H585">
        <v>2</v>
      </c>
      <c r="I585" t="s">
        <v>112</v>
      </c>
      <c r="J585">
        <v>291</v>
      </c>
      <c r="K585">
        <v>902</v>
      </c>
      <c r="L585">
        <v>1</v>
      </c>
      <c r="M585">
        <v>30</v>
      </c>
      <c r="N585">
        <v>63</v>
      </c>
      <c r="O585">
        <v>1</v>
      </c>
      <c r="P585">
        <v>117</v>
      </c>
      <c r="Q585">
        <v>176</v>
      </c>
      <c r="R585">
        <v>1</v>
      </c>
      <c r="S585">
        <v>1500000</v>
      </c>
      <c r="T585" t="s">
        <v>1097</v>
      </c>
      <c r="U585" t="s">
        <v>592</v>
      </c>
      <c r="W585">
        <v>475</v>
      </c>
      <c r="X585" t="b">
        <v>0</v>
      </c>
    </row>
    <row r="586" spans="1:24" x14ac:dyDescent="0.25">
      <c r="A586">
        <v>585</v>
      </c>
      <c r="B586" t="s">
        <v>1098</v>
      </c>
      <c r="C586">
        <v>1</v>
      </c>
      <c r="D586">
        <v>2</v>
      </c>
      <c r="E586">
        <v>15</v>
      </c>
      <c r="F586">
        <v>3</v>
      </c>
      <c r="G586" t="s">
        <v>112</v>
      </c>
      <c r="H586">
        <v>3</v>
      </c>
      <c r="I586" t="s">
        <v>112</v>
      </c>
      <c r="J586">
        <v>30</v>
      </c>
      <c r="K586">
        <v>93</v>
      </c>
      <c r="L586">
        <v>1</v>
      </c>
      <c r="M586">
        <v>36</v>
      </c>
      <c r="N586">
        <v>90</v>
      </c>
      <c r="O586">
        <v>1</v>
      </c>
      <c r="P586">
        <v>112</v>
      </c>
      <c r="Q586">
        <v>235</v>
      </c>
      <c r="R586">
        <v>1</v>
      </c>
      <c r="S586">
        <v>1500000</v>
      </c>
      <c r="T586" t="s">
        <v>112</v>
      </c>
      <c r="U586" t="s">
        <v>112</v>
      </c>
      <c r="W586">
        <v>412.5</v>
      </c>
      <c r="X586" t="b">
        <v>0</v>
      </c>
    </row>
    <row r="587" spans="1:24" x14ac:dyDescent="0.25">
      <c r="A587">
        <v>586</v>
      </c>
      <c r="B587" t="s">
        <v>1099</v>
      </c>
      <c r="C587">
        <v>2</v>
      </c>
      <c r="D587">
        <v>5</v>
      </c>
      <c r="E587">
        <v>50</v>
      </c>
      <c r="F587">
        <v>3</v>
      </c>
      <c r="G587" t="s">
        <v>112</v>
      </c>
      <c r="H587">
        <v>3</v>
      </c>
      <c r="I587" t="s">
        <v>112</v>
      </c>
      <c r="J587">
        <v>74</v>
      </c>
      <c r="K587">
        <v>229</v>
      </c>
      <c r="L587">
        <v>1</v>
      </c>
      <c r="M587">
        <v>81</v>
      </c>
      <c r="N587">
        <v>170</v>
      </c>
      <c r="O587">
        <v>1</v>
      </c>
      <c r="P587">
        <v>212</v>
      </c>
      <c r="Q587">
        <v>318</v>
      </c>
      <c r="R587">
        <v>1</v>
      </c>
      <c r="S587">
        <v>1500000</v>
      </c>
      <c r="T587" t="s">
        <v>1100</v>
      </c>
      <c r="U587" t="s">
        <v>1101</v>
      </c>
      <c r="W587">
        <v>475</v>
      </c>
      <c r="X587" t="b">
        <v>0</v>
      </c>
    </row>
    <row r="588" spans="1:24" x14ac:dyDescent="0.25">
      <c r="A588">
        <v>587</v>
      </c>
      <c r="B588" t="s">
        <v>1102</v>
      </c>
      <c r="C588">
        <v>1</v>
      </c>
      <c r="D588">
        <v>2</v>
      </c>
      <c r="E588">
        <v>15</v>
      </c>
      <c r="F588">
        <v>4</v>
      </c>
      <c r="G588" t="s">
        <v>112</v>
      </c>
      <c r="H588">
        <v>6</v>
      </c>
      <c r="I588" t="s">
        <v>112</v>
      </c>
      <c r="J588">
        <v>39</v>
      </c>
      <c r="K588">
        <v>121</v>
      </c>
      <c r="L588">
        <v>1</v>
      </c>
      <c r="M588">
        <v>136</v>
      </c>
      <c r="N588">
        <v>340</v>
      </c>
      <c r="O588">
        <v>1</v>
      </c>
      <c r="P588">
        <v>9</v>
      </c>
      <c r="Q588">
        <v>19</v>
      </c>
      <c r="R588">
        <v>1</v>
      </c>
      <c r="S588">
        <v>1500000</v>
      </c>
      <c r="T588" t="s">
        <v>112</v>
      </c>
      <c r="U588" t="s">
        <v>112</v>
      </c>
      <c r="W588">
        <v>412.5</v>
      </c>
      <c r="X588" t="b">
        <v>0</v>
      </c>
    </row>
    <row r="589" spans="1:24" x14ac:dyDescent="0.25">
      <c r="A589">
        <v>588</v>
      </c>
      <c r="B589" t="s">
        <v>1103</v>
      </c>
      <c r="C589">
        <v>2</v>
      </c>
      <c r="D589">
        <v>5</v>
      </c>
      <c r="E589">
        <v>50</v>
      </c>
      <c r="F589">
        <v>4</v>
      </c>
      <c r="G589" t="s">
        <v>112</v>
      </c>
      <c r="H589">
        <v>6</v>
      </c>
      <c r="I589" t="s">
        <v>112</v>
      </c>
      <c r="J589">
        <v>97</v>
      </c>
      <c r="K589">
        <v>301</v>
      </c>
      <c r="L589">
        <v>1</v>
      </c>
      <c r="M589">
        <v>306</v>
      </c>
      <c r="N589">
        <v>643</v>
      </c>
      <c r="O589">
        <v>1</v>
      </c>
      <c r="P589">
        <v>17</v>
      </c>
      <c r="Q589">
        <v>26</v>
      </c>
      <c r="R589">
        <v>1</v>
      </c>
      <c r="S589">
        <v>1500000</v>
      </c>
      <c r="T589" t="s">
        <v>1104</v>
      </c>
      <c r="U589" t="s">
        <v>1105</v>
      </c>
      <c r="W589">
        <v>475</v>
      </c>
      <c r="X589" t="b">
        <v>0</v>
      </c>
    </row>
    <row r="590" spans="1:24" x14ac:dyDescent="0.25">
      <c r="A590">
        <v>589</v>
      </c>
      <c r="B590" t="s">
        <v>1852</v>
      </c>
      <c r="C590">
        <v>5</v>
      </c>
      <c r="D590">
        <v>1</v>
      </c>
      <c r="E590">
        <v>1</v>
      </c>
      <c r="F590">
        <v>0</v>
      </c>
      <c r="G590" t="s">
        <v>112</v>
      </c>
      <c r="H590">
        <v>14</v>
      </c>
      <c r="I590" t="s">
        <v>112</v>
      </c>
      <c r="J590">
        <v>777</v>
      </c>
      <c r="K590">
        <v>777</v>
      </c>
      <c r="L590">
        <v>1</v>
      </c>
      <c r="M590">
        <v>777</v>
      </c>
      <c r="N590">
        <v>777</v>
      </c>
      <c r="O590">
        <v>1</v>
      </c>
      <c r="P590">
        <v>77</v>
      </c>
      <c r="Q590">
        <v>77</v>
      </c>
      <c r="R590">
        <v>1</v>
      </c>
      <c r="S590">
        <v>1500000</v>
      </c>
      <c r="T590" t="s">
        <v>112</v>
      </c>
      <c r="U590" t="s">
        <v>112</v>
      </c>
      <c r="W590">
        <v>100000</v>
      </c>
      <c r="X590" t="b">
        <v>1</v>
      </c>
    </row>
    <row r="591" spans="1:24" x14ac:dyDescent="0.25">
      <c r="A591">
        <v>590</v>
      </c>
      <c r="B591" t="s">
        <v>1853</v>
      </c>
      <c r="C591">
        <v>5</v>
      </c>
      <c r="D591">
        <v>1</v>
      </c>
      <c r="E591">
        <v>1</v>
      </c>
      <c r="F591">
        <v>2</v>
      </c>
      <c r="G591" t="s">
        <v>112</v>
      </c>
      <c r="H591">
        <v>14</v>
      </c>
      <c r="I591" t="s">
        <v>112</v>
      </c>
      <c r="J591">
        <v>1111</v>
      </c>
      <c r="K591">
        <v>1111</v>
      </c>
      <c r="L591">
        <v>1</v>
      </c>
      <c r="M591">
        <v>1111</v>
      </c>
      <c r="N591">
        <v>1111</v>
      </c>
      <c r="O591">
        <v>1</v>
      </c>
      <c r="P591">
        <v>11</v>
      </c>
      <c r="Q591">
        <v>11</v>
      </c>
      <c r="R591">
        <v>1</v>
      </c>
      <c r="S591">
        <v>1500000</v>
      </c>
      <c r="T591" t="s">
        <v>112</v>
      </c>
      <c r="U591" t="s">
        <v>112</v>
      </c>
      <c r="W591">
        <v>100000</v>
      </c>
      <c r="X591" t="b">
        <v>1</v>
      </c>
    </row>
    <row r="592" spans="1:24" x14ac:dyDescent="0.25">
      <c r="A592">
        <v>591</v>
      </c>
      <c r="B592" t="s">
        <v>1106</v>
      </c>
      <c r="C592">
        <v>4</v>
      </c>
      <c r="D592">
        <v>10</v>
      </c>
      <c r="E592">
        <v>35</v>
      </c>
      <c r="F592">
        <v>3</v>
      </c>
      <c r="G592" t="s">
        <v>112</v>
      </c>
      <c r="H592">
        <v>3</v>
      </c>
      <c r="I592" t="s">
        <v>112</v>
      </c>
      <c r="J592">
        <v>134</v>
      </c>
      <c r="K592">
        <v>335</v>
      </c>
      <c r="L592">
        <v>1</v>
      </c>
      <c r="M592">
        <v>58</v>
      </c>
      <c r="N592">
        <v>145</v>
      </c>
      <c r="O592">
        <v>1</v>
      </c>
      <c r="P592">
        <v>88</v>
      </c>
      <c r="Q592">
        <v>202</v>
      </c>
      <c r="R592">
        <v>1</v>
      </c>
      <c r="S592">
        <v>1500000</v>
      </c>
      <c r="T592" t="s">
        <v>112</v>
      </c>
      <c r="U592" t="s">
        <v>1107</v>
      </c>
      <c r="W592">
        <v>525</v>
      </c>
      <c r="X592" t="b">
        <v>0</v>
      </c>
    </row>
    <row r="593" spans="1:24" x14ac:dyDescent="0.25">
      <c r="A593">
        <v>592</v>
      </c>
      <c r="B593" t="s">
        <v>1108</v>
      </c>
      <c r="C593">
        <v>5</v>
      </c>
      <c r="D593">
        <v>15</v>
      </c>
      <c r="E593">
        <v>70</v>
      </c>
      <c r="F593">
        <v>3</v>
      </c>
      <c r="G593">
        <v>3</v>
      </c>
      <c r="H593">
        <v>3</v>
      </c>
      <c r="I593" t="s">
        <v>112</v>
      </c>
      <c r="J593">
        <v>268</v>
      </c>
      <c r="K593">
        <v>938</v>
      </c>
      <c r="L593">
        <v>1</v>
      </c>
      <c r="M593">
        <v>131</v>
      </c>
      <c r="N593">
        <v>576</v>
      </c>
      <c r="O593">
        <v>1</v>
      </c>
      <c r="P593">
        <v>182</v>
      </c>
      <c r="Q593">
        <v>510</v>
      </c>
      <c r="R593">
        <v>1</v>
      </c>
      <c r="S593">
        <v>1500000</v>
      </c>
      <c r="T593" t="s">
        <v>1110</v>
      </c>
      <c r="U593" t="s">
        <v>1107</v>
      </c>
      <c r="V593" t="s">
        <v>1109</v>
      </c>
      <c r="W593">
        <v>750</v>
      </c>
      <c r="X593" t="b">
        <v>0</v>
      </c>
    </row>
    <row r="594" spans="1:24" x14ac:dyDescent="0.25">
      <c r="A594">
        <v>593</v>
      </c>
      <c r="B594" t="s">
        <v>1111</v>
      </c>
      <c r="C594">
        <v>4</v>
      </c>
      <c r="D594">
        <v>12</v>
      </c>
      <c r="E594">
        <v>1</v>
      </c>
      <c r="F594">
        <v>0</v>
      </c>
      <c r="G594" t="s">
        <v>112</v>
      </c>
      <c r="H594">
        <v>14</v>
      </c>
      <c r="I594" t="s">
        <v>112</v>
      </c>
      <c r="J594">
        <v>977</v>
      </c>
      <c r="K594">
        <v>977</v>
      </c>
      <c r="L594">
        <v>1</v>
      </c>
      <c r="M594">
        <v>623</v>
      </c>
      <c r="N594">
        <v>623</v>
      </c>
      <c r="O594">
        <v>1</v>
      </c>
      <c r="P594">
        <v>405</v>
      </c>
      <c r="Q594">
        <v>405</v>
      </c>
      <c r="R594">
        <v>1</v>
      </c>
      <c r="S594">
        <v>1500000</v>
      </c>
      <c r="T594" t="s">
        <v>112</v>
      </c>
      <c r="U594" t="s">
        <v>332</v>
      </c>
      <c r="W594">
        <v>30000</v>
      </c>
      <c r="X594" t="b">
        <v>0</v>
      </c>
    </row>
    <row r="595" spans="1:24" x14ac:dyDescent="0.25">
      <c r="A595">
        <v>594</v>
      </c>
      <c r="B595" t="s">
        <v>1112</v>
      </c>
      <c r="C595">
        <v>4</v>
      </c>
      <c r="D595">
        <v>12</v>
      </c>
      <c r="E595">
        <v>1</v>
      </c>
      <c r="F595">
        <v>1</v>
      </c>
      <c r="G595" t="s">
        <v>112</v>
      </c>
      <c r="H595">
        <v>14</v>
      </c>
      <c r="I595" t="s">
        <v>112</v>
      </c>
      <c r="J595">
        <v>966</v>
      </c>
      <c r="K595">
        <v>966</v>
      </c>
      <c r="L595">
        <v>1</v>
      </c>
      <c r="M595">
        <v>627</v>
      </c>
      <c r="N595">
        <v>627</v>
      </c>
      <c r="O595">
        <v>1</v>
      </c>
      <c r="P595">
        <v>403</v>
      </c>
      <c r="Q595">
        <v>403</v>
      </c>
      <c r="R595">
        <v>1</v>
      </c>
      <c r="S595">
        <v>1500000</v>
      </c>
      <c r="T595" t="s">
        <v>112</v>
      </c>
      <c r="U595" t="s">
        <v>931</v>
      </c>
      <c r="W595">
        <v>30000</v>
      </c>
      <c r="X595" t="b">
        <v>0</v>
      </c>
    </row>
    <row r="596" spans="1:24" x14ac:dyDescent="0.25">
      <c r="A596">
        <v>595</v>
      </c>
      <c r="B596" t="s">
        <v>1113</v>
      </c>
      <c r="C596">
        <v>4</v>
      </c>
      <c r="D596">
        <v>12</v>
      </c>
      <c r="E596">
        <v>1</v>
      </c>
      <c r="F596">
        <v>4</v>
      </c>
      <c r="G596" t="s">
        <v>112</v>
      </c>
      <c r="H596">
        <v>14</v>
      </c>
      <c r="I596" t="s">
        <v>112</v>
      </c>
      <c r="J596">
        <v>954</v>
      </c>
      <c r="K596">
        <v>954</v>
      </c>
      <c r="L596">
        <v>1</v>
      </c>
      <c r="M596">
        <v>630</v>
      </c>
      <c r="N596">
        <v>630</v>
      </c>
      <c r="O596">
        <v>1</v>
      </c>
      <c r="P596">
        <v>401</v>
      </c>
      <c r="Q596">
        <v>401</v>
      </c>
      <c r="R596">
        <v>1</v>
      </c>
      <c r="S596">
        <v>1500000</v>
      </c>
      <c r="T596" t="s">
        <v>112</v>
      </c>
      <c r="U596" t="s">
        <v>933</v>
      </c>
      <c r="W596">
        <v>30000</v>
      </c>
      <c r="X596" t="b">
        <v>0</v>
      </c>
    </row>
    <row r="597" spans="1:24" x14ac:dyDescent="0.25">
      <c r="A597">
        <v>596</v>
      </c>
      <c r="B597" t="s">
        <v>1114</v>
      </c>
      <c r="C597">
        <v>6</v>
      </c>
      <c r="D597">
        <v>40</v>
      </c>
      <c r="E597">
        <v>50</v>
      </c>
      <c r="F597">
        <v>1</v>
      </c>
      <c r="G597" t="s">
        <v>112</v>
      </c>
      <c r="H597">
        <v>5</v>
      </c>
      <c r="I597" t="s">
        <v>112</v>
      </c>
      <c r="J597">
        <v>1029</v>
      </c>
      <c r="K597">
        <v>2161</v>
      </c>
      <c r="L597">
        <v>1</v>
      </c>
      <c r="M597">
        <v>910</v>
      </c>
      <c r="N597">
        <v>1183</v>
      </c>
      <c r="O597">
        <v>1</v>
      </c>
      <c r="P597">
        <v>119</v>
      </c>
      <c r="Q597">
        <v>238</v>
      </c>
      <c r="R597">
        <v>1</v>
      </c>
      <c r="S597">
        <v>5000000</v>
      </c>
      <c r="T597" t="s">
        <v>1115</v>
      </c>
      <c r="U597" t="s">
        <v>327</v>
      </c>
      <c r="W597">
        <v>1725</v>
      </c>
      <c r="X597" t="b">
        <v>0</v>
      </c>
    </row>
    <row r="598" spans="1:24" x14ac:dyDescent="0.25">
      <c r="A598">
        <v>597</v>
      </c>
      <c r="B598" t="s">
        <v>1116</v>
      </c>
      <c r="C598">
        <v>7</v>
      </c>
      <c r="D598">
        <v>60</v>
      </c>
      <c r="E598">
        <v>99</v>
      </c>
      <c r="F598">
        <v>1</v>
      </c>
      <c r="G598">
        <v>4</v>
      </c>
      <c r="H598">
        <v>5</v>
      </c>
      <c r="I598">
        <v>7</v>
      </c>
      <c r="J598">
        <v>1729</v>
      </c>
      <c r="K598">
        <v>3504</v>
      </c>
      <c r="L598">
        <v>1</v>
      </c>
      <c r="M598">
        <v>1065</v>
      </c>
      <c r="N598">
        <v>1234</v>
      </c>
      <c r="O598">
        <v>1</v>
      </c>
      <c r="P598">
        <v>214</v>
      </c>
      <c r="Q598">
        <v>428</v>
      </c>
      <c r="R598">
        <v>1</v>
      </c>
      <c r="S598">
        <v>5000000</v>
      </c>
      <c r="T598" t="s">
        <v>1115</v>
      </c>
      <c r="U598" t="s">
        <v>327</v>
      </c>
      <c r="V598" t="s">
        <v>1117</v>
      </c>
      <c r="W598">
        <v>2512.5</v>
      </c>
      <c r="X598" t="b">
        <v>0</v>
      </c>
    </row>
    <row r="599" spans="1:24" x14ac:dyDescent="0.25">
      <c r="A599">
        <v>598</v>
      </c>
      <c r="B599" t="s">
        <v>1118</v>
      </c>
      <c r="C599">
        <v>6</v>
      </c>
      <c r="D599">
        <v>40</v>
      </c>
      <c r="E599">
        <v>50</v>
      </c>
      <c r="F599">
        <v>0</v>
      </c>
      <c r="G599" t="s">
        <v>112</v>
      </c>
      <c r="H599">
        <v>5</v>
      </c>
      <c r="I599" t="s">
        <v>112</v>
      </c>
      <c r="J599">
        <v>929</v>
      </c>
      <c r="K599">
        <v>1951</v>
      </c>
      <c r="L599">
        <v>1</v>
      </c>
      <c r="M599">
        <v>930</v>
      </c>
      <c r="N599">
        <v>1209</v>
      </c>
      <c r="O599">
        <v>1</v>
      </c>
      <c r="P599">
        <v>34</v>
      </c>
      <c r="Q599">
        <v>68</v>
      </c>
      <c r="R599">
        <v>1</v>
      </c>
      <c r="S599">
        <v>5000000</v>
      </c>
      <c r="T599" t="s">
        <v>2228</v>
      </c>
      <c r="U599" t="s">
        <v>2229</v>
      </c>
      <c r="W599">
        <v>1725</v>
      </c>
      <c r="X599" t="b">
        <v>0</v>
      </c>
    </row>
    <row r="600" spans="1:24" x14ac:dyDescent="0.25">
      <c r="A600">
        <v>599</v>
      </c>
      <c r="B600" t="s">
        <v>1119</v>
      </c>
      <c r="C600">
        <v>7</v>
      </c>
      <c r="D600">
        <v>60</v>
      </c>
      <c r="E600">
        <v>99</v>
      </c>
      <c r="F600">
        <v>0</v>
      </c>
      <c r="G600">
        <v>4</v>
      </c>
      <c r="H600">
        <v>5</v>
      </c>
      <c r="I600">
        <v>7</v>
      </c>
      <c r="J600">
        <v>1561</v>
      </c>
      <c r="K600">
        <v>3444</v>
      </c>
      <c r="L600">
        <v>1</v>
      </c>
      <c r="M600">
        <v>1088</v>
      </c>
      <c r="N600">
        <v>1578</v>
      </c>
      <c r="O600">
        <v>1</v>
      </c>
      <c r="P600">
        <v>61</v>
      </c>
      <c r="Q600">
        <v>122</v>
      </c>
      <c r="R600">
        <v>1</v>
      </c>
      <c r="S600">
        <v>5000000</v>
      </c>
      <c r="T600" t="s">
        <v>2228</v>
      </c>
      <c r="U600" t="s">
        <v>2229</v>
      </c>
      <c r="V600" t="s">
        <v>1120</v>
      </c>
      <c r="W600">
        <v>2512.5</v>
      </c>
      <c r="X600" t="b">
        <v>0</v>
      </c>
    </row>
    <row r="601" spans="1:24" x14ac:dyDescent="0.25">
      <c r="A601">
        <v>600</v>
      </c>
      <c r="B601" t="s">
        <v>1121</v>
      </c>
      <c r="C601">
        <v>2</v>
      </c>
      <c r="D601">
        <v>4</v>
      </c>
      <c r="E601">
        <v>10</v>
      </c>
      <c r="F601">
        <v>3</v>
      </c>
      <c r="G601" t="s">
        <v>112</v>
      </c>
      <c r="H601">
        <v>14</v>
      </c>
      <c r="I601" t="s">
        <v>112</v>
      </c>
      <c r="J601">
        <v>85</v>
      </c>
      <c r="K601">
        <v>255</v>
      </c>
      <c r="L601">
        <v>0.7</v>
      </c>
      <c r="M601">
        <v>89</v>
      </c>
      <c r="N601">
        <v>178</v>
      </c>
      <c r="O601">
        <v>0.7</v>
      </c>
      <c r="P601">
        <v>64</v>
      </c>
      <c r="Q601">
        <v>128</v>
      </c>
      <c r="R601">
        <v>0.7</v>
      </c>
      <c r="S601">
        <v>1000000</v>
      </c>
      <c r="T601" t="s">
        <v>112</v>
      </c>
      <c r="U601" t="s">
        <v>112</v>
      </c>
      <c r="W601">
        <v>600</v>
      </c>
      <c r="X601" t="b">
        <v>0</v>
      </c>
    </row>
    <row r="602" spans="1:24" x14ac:dyDescent="0.25">
      <c r="A602">
        <v>601</v>
      </c>
      <c r="B602" t="s">
        <v>1122</v>
      </c>
      <c r="C602">
        <v>3</v>
      </c>
      <c r="D602">
        <v>5</v>
      </c>
      <c r="E602">
        <v>1</v>
      </c>
      <c r="F602">
        <v>3</v>
      </c>
      <c r="G602" t="s">
        <v>112</v>
      </c>
      <c r="H602">
        <v>14</v>
      </c>
      <c r="I602" t="s">
        <v>112</v>
      </c>
      <c r="J602">
        <v>383</v>
      </c>
      <c r="K602">
        <v>383</v>
      </c>
      <c r="L602">
        <v>0.7</v>
      </c>
      <c r="M602">
        <v>267</v>
      </c>
      <c r="N602">
        <v>267</v>
      </c>
      <c r="O602">
        <v>0.7</v>
      </c>
      <c r="P602">
        <v>192</v>
      </c>
      <c r="Q602">
        <v>192</v>
      </c>
      <c r="R602">
        <v>0.7</v>
      </c>
      <c r="S602">
        <v>1000000</v>
      </c>
      <c r="T602" t="s">
        <v>112</v>
      </c>
      <c r="U602" t="s">
        <v>112</v>
      </c>
      <c r="W602">
        <v>30000</v>
      </c>
      <c r="X602" t="b">
        <v>0</v>
      </c>
    </row>
    <row r="603" spans="1:24" x14ac:dyDescent="0.25">
      <c r="A603">
        <v>602</v>
      </c>
      <c r="B603" t="s">
        <v>1123</v>
      </c>
      <c r="C603">
        <v>2</v>
      </c>
      <c r="D603">
        <v>4</v>
      </c>
      <c r="E603">
        <v>10</v>
      </c>
      <c r="F603">
        <v>4</v>
      </c>
      <c r="G603" t="s">
        <v>112</v>
      </c>
      <c r="H603">
        <v>14</v>
      </c>
      <c r="I603" t="s">
        <v>112</v>
      </c>
      <c r="J603">
        <v>85</v>
      </c>
      <c r="K603">
        <v>255</v>
      </c>
      <c r="L603">
        <v>0.7</v>
      </c>
      <c r="M603">
        <v>89</v>
      </c>
      <c r="N603">
        <v>178</v>
      </c>
      <c r="O603">
        <v>0.7</v>
      </c>
      <c r="P603">
        <v>64</v>
      </c>
      <c r="Q603">
        <v>128</v>
      </c>
      <c r="R603">
        <v>0.7</v>
      </c>
      <c r="S603">
        <v>1000000</v>
      </c>
      <c r="T603" t="s">
        <v>112</v>
      </c>
      <c r="U603" t="s">
        <v>112</v>
      </c>
      <c r="W603">
        <v>600</v>
      </c>
      <c r="X603" t="b">
        <v>0</v>
      </c>
    </row>
    <row r="604" spans="1:24" x14ac:dyDescent="0.25">
      <c r="A604">
        <v>603</v>
      </c>
      <c r="B604" t="s">
        <v>1124</v>
      </c>
      <c r="C604">
        <v>3</v>
      </c>
      <c r="D604">
        <v>5</v>
      </c>
      <c r="E604">
        <v>1</v>
      </c>
      <c r="F604">
        <v>4</v>
      </c>
      <c r="G604" t="s">
        <v>112</v>
      </c>
      <c r="H604">
        <v>14</v>
      </c>
      <c r="I604" t="s">
        <v>112</v>
      </c>
      <c r="J604">
        <v>383</v>
      </c>
      <c r="K604">
        <v>383</v>
      </c>
      <c r="L604">
        <v>0.7</v>
      </c>
      <c r="M604">
        <v>267</v>
      </c>
      <c r="N604">
        <v>267</v>
      </c>
      <c r="O604">
        <v>0.7</v>
      </c>
      <c r="P604">
        <v>192</v>
      </c>
      <c r="Q604">
        <v>192</v>
      </c>
      <c r="R604">
        <v>0.7</v>
      </c>
      <c r="S604">
        <v>1000000</v>
      </c>
      <c r="T604" t="s">
        <v>112</v>
      </c>
      <c r="U604" t="s">
        <v>112</v>
      </c>
      <c r="W604">
        <v>30000</v>
      </c>
      <c r="X604" t="b">
        <v>0</v>
      </c>
    </row>
    <row r="605" spans="1:24" x14ac:dyDescent="0.25">
      <c r="A605">
        <v>604</v>
      </c>
      <c r="B605" t="s">
        <v>1854</v>
      </c>
      <c r="C605">
        <v>3</v>
      </c>
      <c r="D605">
        <v>1</v>
      </c>
      <c r="E605">
        <v>1</v>
      </c>
      <c r="F605">
        <v>0</v>
      </c>
      <c r="G605" t="s">
        <v>112</v>
      </c>
      <c r="H605">
        <v>0</v>
      </c>
      <c r="I605" t="s">
        <v>112</v>
      </c>
      <c r="J605">
        <v>555</v>
      </c>
      <c r="K605">
        <v>555</v>
      </c>
      <c r="L605">
        <v>1</v>
      </c>
      <c r="M605">
        <v>555</v>
      </c>
      <c r="N605">
        <v>555</v>
      </c>
      <c r="O605">
        <v>1</v>
      </c>
      <c r="P605">
        <v>0</v>
      </c>
      <c r="Q605">
        <v>0</v>
      </c>
      <c r="R605">
        <v>1</v>
      </c>
      <c r="S605">
        <v>1500000</v>
      </c>
      <c r="T605" t="s">
        <v>1839</v>
      </c>
      <c r="U605" t="s">
        <v>936</v>
      </c>
      <c r="W605">
        <v>10000</v>
      </c>
      <c r="X605" t="b">
        <v>1</v>
      </c>
    </row>
    <row r="606" spans="1:24" x14ac:dyDescent="0.25">
      <c r="A606">
        <v>605</v>
      </c>
      <c r="B606" t="s">
        <v>1855</v>
      </c>
      <c r="C606">
        <v>4</v>
      </c>
      <c r="D606">
        <v>15</v>
      </c>
      <c r="E606">
        <v>70</v>
      </c>
      <c r="F606">
        <v>3</v>
      </c>
      <c r="G606" t="s">
        <v>112</v>
      </c>
      <c r="H606">
        <v>3</v>
      </c>
      <c r="I606" t="s">
        <v>112</v>
      </c>
      <c r="J606">
        <v>979</v>
      </c>
      <c r="K606">
        <v>1762</v>
      </c>
      <c r="L606">
        <v>1</v>
      </c>
      <c r="M606">
        <v>212</v>
      </c>
      <c r="N606">
        <v>382</v>
      </c>
      <c r="O606">
        <v>1</v>
      </c>
      <c r="P606">
        <v>360</v>
      </c>
      <c r="Q606">
        <v>504</v>
      </c>
      <c r="R606">
        <v>1</v>
      </c>
      <c r="S606">
        <v>2000000</v>
      </c>
      <c r="T606" t="s">
        <v>1839</v>
      </c>
      <c r="U606" t="s">
        <v>1856</v>
      </c>
      <c r="W606">
        <v>712.5</v>
      </c>
      <c r="X606" t="b">
        <v>1</v>
      </c>
    </row>
    <row r="607" spans="1:24" x14ac:dyDescent="0.25">
      <c r="A607">
        <v>606</v>
      </c>
      <c r="B607" t="s">
        <v>1857</v>
      </c>
      <c r="C607">
        <v>5</v>
      </c>
      <c r="D607">
        <v>30</v>
      </c>
      <c r="E607">
        <v>99</v>
      </c>
      <c r="F607">
        <v>3</v>
      </c>
      <c r="G607">
        <v>0</v>
      </c>
      <c r="H607">
        <v>3</v>
      </c>
      <c r="I607">
        <v>5</v>
      </c>
      <c r="J607">
        <v>1410</v>
      </c>
      <c r="K607">
        <v>3102</v>
      </c>
      <c r="L607">
        <v>1</v>
      </c>
      <c r="M607">
        <v>344</v>
      </c>
      <c r="N607">
        <v>688</v>
      </c>
      <c r="O607">
        <v>1</v>
      </c>
      <c r="P607">
        <v>454</v>
      </c>
      <c r="Q607">
        <v>636</v>
      </c>
      <c r="R607">
        <v>1</v>
      </c>
      <c r="S607">
        <v>4000000</v>
      </c>
      <c r="T607" t="s">
        <v>1126</v>
      </c>
      <c r="U607" t="s">
        <v>1856</v>
      </c>
      <c r="V607" t="s">
        <v>1125</v>
      </c>
      <c r="W607">
        <v>1312.5</v>
      </c>
      <c r="X607" t="b">
        <v>1</v>
      </c>
    </row>
    <row r="608" spans="1:24" x14ac:dyDescent="0.25">
      <c r="A608">
        <v>607</v>
      </c>
      <c r="B608" t="s">
        <v>1858</v>
      </c>
      <c r="C608">
        <v>3</v>
      </c>
      <c r="D608">
        <v>5</v>
      </c>
      <c r="E608">
        <v>25</v>
      </c>
      <c r="F608">
        <v>0</v>
      </c>
      <c r="G608" t="s">
        <v>112</v>
      </c>
      <c r="H608">
        <v>6</v>
      </c>
      <c r="I608" t="s">
        <v>112</v>
      </c>
      <c r="J608">
        <v>195</v>
      </c>
      <c r="K608">
        <v>624</v>
      </c>
      <c r="L608">
        <v>1</v>
      </c>
      <c r="M608">
        <v>157</v>
      </c>
      <c r="N608">
        <v>502</v>
      </c>
      <c r="O608">
        <v>1</v>
      </c>
      <c r="P608">
        <v>61</v>
      </c>
      <c r="Q608">
        <v>128</v>
      </c>
      <c r="R608">
        <v>1</v>
      </c>
      <c r="S608">
        <v>1500000</v>
      </c>
      <c r="T608" t="s">
        <v>112</v>
      </c>
      <c r="U608" t="s">
        <v>112</v>
      </c>
      <c r="W608">
        <v>300</v>
      </c>
      <c r="X608" t="b">
        <v>1</v>
      </c>
    </row>
    <row r="609" spans="1:24" x14ac:dyDescent="0.25">
      <c r="A609">
        <v>608</v>
      </c>
      <c r="B609" t="s">
        <v>1859</v>
      </c>
      <c r="C609">
        <v>4</v>
      </c>
      <c r="D609">
        <v>10</v>
      </c>
      <c r="E609">
        <v>70</v>
      </c>
      <c r="F609">
        <v>0</v>
      </c>
      <c r="G609" t="s">
        <v>112</v>
      </c>
      <c r="H609">
        <v>6</v>
      </c>
      <c r="I609" t="s">
        <v>112</v>
      </c>
      <c r="J609">
        <v>499</v>
      </c>
      <c r="K609">
        <v>1347</v>
      </c>
      <c r="L609">
        <v>1</v>
      </c>
      <c r="M609">
        <v>452</v>
      </c>
      <c r="N609">
        <v>1130</v>
      </c>
      <c r="O609">
        <v>1</v>
      </c>
      <c r="P609">
        <v>115</v>
      </c>
      <c r="Q609">
        <v>173</v>
      </c>
      <c r="R609">
        <v>1</v>
      </c>
      <c r="S609">
        <v>1500000</v>
      </c>
      <c r="T609" t="s">
        <v>1860</v>
      </c>
      <c r="U609" t="s">
        <v>666</v>
      </c>
      <c r="V609" t="s">
        <v>1127</v>
      </c>
      <c r="W609">
        <v>525</v>
      </c>
      <c r="X609" t="b">
        <v>1</v>
      </c>
    </row>
    <row r="610" spans="1:24" x14ac:dyDescent="0.25">
      <c r="A610">
        <v>609</v>
      </c>
      <c r="B610" t="s">
        <v>1861</v>
      </c>
      <c r="C610">
        <v>3</v>
      </c>
      <c r="D610">
        <v>5</v>
      </c>
      <c r="E610">
        <v>25</v>
      </c>
      <c r="F610">
        <v>1</v>
      </c>
      <c r="G610" t="s">
        <v>112</v>
      </c>
      <c r="H610">
        <v>3</v>
      </c>
      <c r="I610" t="s">
        <v>112</v>
      </c>
      <c r="J610">
        <v>194</v>
      </c>
      <c r="K610">
        <v>621</v>
      </c>
      <c r="L610">
        <v>1</v>
      </c>
      <c r="M610">
        <v>98</v>
      </c>
      <c r="N610">
        <v>314</v>
      </c>
      <c r="O610">
        <v>1</v>
      </c>
      <c r="P610">
        <v>151</v>
      </c>
      <c r="Q610">
        <v>317</v>
      </c>
      <c r="R610">
        <v>1</v>
      </c>
      <c r="S610">
        <v>1500000</v>
      </c>
      <c r="T610" t="s">
        <v>112</v>
      </c>
      <c r="U610" t="s">
        <v>112</v>
      </c>
      <c r="W610">
        <v>300</v>
      </c>
      <c r="X610" t="b">
        <v>1</v>
      </c>
    </row>
    <row r="611" spans="1:24" x14ac:dyDescent="0.25">
      <c r="A611">
        <v>610</v>
      </c>
      <c r="B611" t="s">
        <v>1862</v>
      </c>
      <c r="C611">
        <v>4</v>
      </c>
      <c r="D611">
        <v>10</v>
      </c>
      <c r="E611">
        <v>70</v>
      </c>
      <c r="F611">
        <v>1</v>
      </c>
      <c r="G611" t="s">
        <v>112</v>
      </c>
      <c r="H611">
        <v>3</v>
      </c>
      <c r="I611" t="s">
        <v>112</v>
      </c>
      <c r="J611">
        <v>497</v>
      </c>
      <c r="K611">
        <v>1342</v>
      </c>
      <c r="L611">
        <v>1</v>
      </c>
      <c r="M611">
        <v>283</v>
      </c>
      <c r="N611">
        <v>708</v>
      </c>
      <c r="O611">
        <v>1</v>
      </c>
      <c r="P611">
        <v>285</v>
      </c>
      <c r="Q611">
        <v>428</v>
      </c>
      <c r="R611">
        <v>1</v>
      </c>
      <c r="S611">
        <v>1500000</v>
      </c>
      <c r="T611" t="s">
        <v>1863</v>
      </c>
      <c r="U611" t="s">
        <v>671</v>
      </c>
      <c r="V611" t="s">
        <v>1128</v>
      </c>
      <c r="W611">
        <v>525</v>
      </c>
      <c r="X611" t="b">
        <v>1</v>
      </c>
    </row>
    <row r="612" spans="1:24" x14ac:dyDescent="0.25">
      <c r="A612">
        <v>611</v>
      </c>
      <c r="B612" t="s">
        <v>1864</v>
      </c>
      <c r="C612">
        <v>4</v>
      </c>
      <c r="D612">
        <v>10</v>
      </c>
      <c r="E612">
        <v>35</v>
      </c>
      <c r="F612">
        <v>2</v>
      </c>
      <c r="G612" t="s">
        <v>112</v>
      </c>
      <c r="H612">
        <v>2</v>
      </c>
      <c r="I612" t="s">
        <v>112</v>
      </c>
      <c r="J612">
        <v>368</v>
      </c>
      <c r="K612">
        <v>1178</v>
      </c>
      <c r="L612">
        <v>1</v>
      </c>
      <c r="M612">
        <v>95</v>
      </c>
      <c r="N612">
        <v>304</v>
      </c>
      <c r="O612">
        <v>1</v>
      </c>
      <c r="P612">
        <v>77</v>
      </c>
      <c r="Q612">
        <v>162</v>
      </c>
      <c r="R612">
        <v>1</v>
      </c>
      <c r="S612">
        <v>1500000</v>
      </c>
      <c r="T612" t="s">
        <v>112</v>
      </c>
      <c r="U612" t="s">
        <v>112</v>
      </c>
      <c r="W612">
        <v>525</v>
      </c>
      <c r="X612" t="b">
        <v>1</v>
      </c>
    </row>
    <row r="613" spans="1:24" x14ac:dyDescent="0.25">
      <c r="A613">
        <v>612</v>
      </c>
      <c r="B613" t="s">
        <v>1865</v>
      </c>
      <c r="C613">
        <v>5</v>
      </c>
      <c r="D613">
        <v>15</v>
      </c>
      <c r="E613">
        <v>99</v>
      </c>
      <c r="F613">
        <v>2</v>
      </c>
      <c r="G613">
        <v>1</v>
      </c>
      <c r="H613">
        <v>2</v>
      </c>
      <c r="I613" t="s">
        <v>112</v>
      </c>
      <c r="J613">
        <v>942</v>
      </c>
      <c r="K613">
        <v>2543</v>
      </c>
      <c r="L613">
        <v>1</v>
      </c>
      <c r="M613">
        <v>274</v>
      </c>
      <c r="N613">
        <v>685</v>
      </c>
      <c r="O613">
        <v>1</v>
      </c>
      <c r="P613">
        <v>146</v>
      </c>
      <c r="Q613">
        <v>219</v>
      </c>
      <c r="R613">
        <v>1</v>
      </c>
      <c r="S613">
        <v>3000000</v>
      </c>
      <c r="T613" t="s">
        <v>1866</v>
      </c>
      <c r="U613" t="s">
        <v>676</v>
      </c>
      <c r="V613" t="s">
        <v>1129</v>
      </c>
      <c r="W613">
        <v>750</v>
      </c>
      <c r="X613" t="b">
        <v>1</v>
      </c>
    </row>
    <row r="614" spans="1:24" x14ac:dyDescent="0.25">
      <c r="A614">
        <v>613</v>
      </c>
      <c r="B614" t="s">
        <v>1867</v>
      </c>
      <c r="C614">
        <v>3</v>
      </c>
      <c r="D614">
        <v>5</v>
      </c>
      <c r="E614">
        <v>25</v>
      </c>
      <c r="F614">
        <v>3</v>
      </c>
      <c r="G614" t="s">
        <v>112</v>
      </c>
      <c r="H614">
        <v>1</v>
      </c>
      <c r="I614" t="s">
        <v>112</v>
      </c>
      <c r="J614">
        <v>275</v>
      </c>
      <c r="K614">
        <v>880</v>
      </c>
      <c r="L614">
        <v>1</v>
      </c>
      <c r="M614">
        <v>101</v>
      </c>
      <c r="N614">
        <v>323</v>
      </c>
      <c r="O614">
        <v>1</v>
      </c>
      <c r="P614">
        <v>87</v>
      </c>
      <c r="Q614">
        <v>183</v>
      </c>
      <c r="R614">
        <v>1</v>
      </c>
      <c r="S614">
        <v>1500000</v>
      </c>
      <c r="T614" t="s">
        <v>112</v>
      </c>
      <c r="U614" t="s">
        <v>112</v>
      </c>
      <c r="W614">
        <v>300</v>
      </c>
      <c r="X614" t="b">
        <v>1</v>
      </c>
    </row>
    <row r="615" spans="1:24" x14ac:dyDescent="0.25">
      <c r="A615">
        <v>614</v>
      </c>
      <c r="B615" t="s">
        <v>1868</v>
      </c>
      <c r="C615">
        <v>4</v>
      </c>
      <c r="D615">
        <v>10</v>
      </c>
      <c r="E615">
        <v>70</v>
      </c>
      <c r="F615">
        <v>3</v>
      </c>
      <c r="G615">
        <v>2</v>
      </c>
      <c r="H615">
        <v>1</v>
      </c>
      <c r="I615" t="s">
        <v>112</v>
      </c>
      <c r="J615">
        <v>704</v>
      </c>
      <c r="K615">
        <v>1901</v>
      </c>
      <c r="L615">
        <v>1</v>
      </c>
      <c r="M615">
        <v>291</v>
      </c>
      <c r="N615">
        <v>728</v>
      </c>
      <c r="O615">
        <v>1</v>
      </c>
      <c r="P615">
        <v>165</v>
      </c>
      <c r="Q615">
        <v>248</v>
      </c>
      <c r="R615">
        <v>1</v>
      </c>
      <c r="S615">
        <v>1500000</v>
      </c>
      <c r="T615" t="s">
        <v>1869</v>
      </c>
      <c r="U615" t="s">
        <v>681</v>
      </c>
      <c r="V615" t="s">
        <v>1130</v>
      </c>
      <c r="W615">
        <v>525</v>
      </c>
      <c r="X615" t="b">
        <v>1</v>
      </c>
    </row>
    <row r="616" spans="1:24" x14ac:dyDescent="0.25">
      <c r="A616">
        <v>615</v>
      </c>
      <c r="B616" t="s">
        <v>1870</v>
      </c>
      <c r="C616">
        <v>3</v>
      </c>
      <c r="D616">
        <v>5</v>
      </c>
      <c r="E616">
        <v>25</v>
      </c>
      <c r="F616">
        <v>4</v>
      </c>
      <c r="G616" t="s">
        <v>112</v>
      </c>
      <c r="H616">
        <v>1</v>
      </c>
      <c r="I616" t="s">
        <v>112</v>
      </c>
      <c r="J616">
        <v>241</v>
      </c>
      <c r="K616">
        <v>771</v>
      </c>
      <c r="L616">
        <v>1</v>
      </c>
      <c r="M616">
        <v>131</v>
      </c>
      <c r="N616">
        <v>419</v>
      </c>
      <c r="O616">
        <v>1</v>
      </c>
      <c r="P616">
        <v>66</v>
      </c>
      <c r="Q616">
        <v>139</v>
      </c>
      <c r="R616">
        <v>1</v>
      </c>
      <c r="S616">
        <v>1500000</v>
      </c>
      <c r="T616" t="s">
        <v>112</v>
      </c>
      <c r="U616" t="s">
        <v>112</v>
      </c>
      <c r="W616">
        <v>300</v>
      </c>
      <c r="X616" t="b">
        <v>1</v>
      </c>
    </row>
    <row r="617" spans="1:24" x14ac:dyDescent="0.25">
      <c r="A617">
        <v>616</v>
      </c>
      <c r="B617" t="s">
        <v>1871</v>
      </c>
      <c r="C617">
        <v>4</v>
      </c>
      <c r="D617">
        <v>10</v>
      </c>
      <c r="E617">
        <v>70</v>
      </c>
      <c r="F617">
        <v>4</v>
      </c>
      <c r="G617" t="s">
        <v>112</v>
      </c>
      <c r="H617">
        <v>1</v>
      </c>
      <c r="I617" t="s">
        <v>112</v>
      </c>
      <c r="J617">
        <v>617</v>
      </c>
      <c r="K617">
        <v>1666</v>
      </c>
      <c r="L617">
        <v>1</v>
      </c>
      <c r="M617">
        <v>377</v>
      </c>
      <c r="N617">
        <v>943</v>
      </c>
      <c r="O617">
        <v>1</v>
      </c>
      <c r="P617">
        <v>125</v>
      </c>
      <c r="Q617">
        <v>188</v>
      </c>
      <c r="R617">
        <v>1</v>
      </c>
      <c r="S617">
        <v>1500000</v>
      </c>
      <c r="T617" t="s">
        <v>1872</v>
      </c>
      <c r="U617" t="s">
        <v>686</v>
      </c>
      <c r="V617" t="s">
        <v>1131</v>
      </c>
      <c r="W617">
        <v>525</v>
      </c>
      <c r="X617" t="b">
        <v>1</v>
      </c>
    </row>
    <row r="618" spans="1:24" x14ac:dyDescent="0.25">
      <c r="A618">
        <v>617</v>
      </c>
      <c r="B618" t="s">
        <v>1132</v>
      </c>
      <c r="C618">
        <v>6</v>
      </c>
      <c r="D618">
        <v>1</v>
      </c>
      <c r="E618">
        <v>1</v>
      </c>
      <c r="F618">
        <v>0</v>
      </c>
      <c r="G618" t="s">
        <v>112</v>
      </c>
      <c r="H618">
        <v>14</v>
      </c>
      <c r="I618" t="s">
        <v>112</v>
      </c>
      <c r="J618">
        <v>1000</v>
      </c>
      <c r="K618">
        <v>1000</v>
      </c>
      <c r="L618">
        <v>0.7</v>
      </c>
      <c r="M618">
        <v>500</v>
      </c>
      <c r="N618">
        <v>500</v>
      </c>
      <c r="O618">
        <v>0.7</v>
      </c>
      <c r="P618">
        <v>100</v>
      </c>
      <c r="Q618">
        <v>100</v>
      </c>
      <c r="R618">
        <v>0.7</v>
      </c>
      <c r="S618">
        <v>2000000</v>
      </c>
      <c r="T618" t="s">
        <v>112</v>
      </c>
      <c r="U618" t="s">
        <v>112</v>
      </c>
      <c r="W618">
        <v>100000</v>
      </c>
      <c r="X618" t="b">
        <v>0</v>
      </c>
    </row>
    <row r="619" spans="1:24" x14ac:dyDescent="0.25">
      <c r="A619">
        <v>618</v>
      </c>
      <c r="B619" t="s">
        <v>1133</v>
      </c>
      <c r="C619">
        <v>6</v>
      </c>
      <c r="D619">
        <v>1</v>
      </c>
      <c r="E619">
        <v>1</v>
      </c>
      <c r="F619">
        <v>1</v>
      </c>
      <c r="G619" t="s">
        <v>112</v>
      </c>
      <c r="H619">
        <v>14</v>
      </c>
      <c r="I619" t="s">
        <v>112</v>
      </c>
      <c r="J619">
        <v>1000</v>
      </c>
      <c r="K619">
        <v>1000</v>
      </c>
      <c r="L619">
        <v>0.7</v>
      </c>
      <c r="M619">
        <v>500</v>
      </c>
      <c r="N619">
        <v>500</v>
      </c>
      <c r="O619">
        <v>0.7</v>
      </c>
      <c r="P619">
        <v>100</v>
      </c>
      <c r="Q619">
        <v>100</v>
      </c>
      <c r="R619">
        <v>0.7</v>
      </c>
      <c r="S619">
        <v>2000000</v>
      </c>
      <c r="T619" t="s">
        <v>112</v>
      </c>
      <c r="U619" t="s">
        <v>112</v>
      </c>
      <c r="W619">
        <v>100000</v>
      </c>
      <c r="X619" t="b">
        <v>0</v>
      </c>
    </row>
    <row r="620" spans="1:24" x14ac:dyDescent="0.25">
      <c r="A620">
        <v>619</v>
      </c>
      <c r="B620" t="s">
        <v>1134</v>
      </c>
      <c r="C620">
        <v>6</v>
      </c>
      <c r="D620">
        <v>1</v>
      </c>
      <c r="E620">
        <v>1</v>
      </c>
      <c r="F620">
        <v>2</v>
      </c>
      <c r="G620" t="s">
        <v>112</v>
      </c>
      <c r="H620">
        <v>14</v>
      </c>
      <c r="I620" t="s">
        <v>112</v>
      </c>
      <c r="J620">
        <v>1000</v>
      </c>
      <c r="K620">
        <v>1000</v>
      </c>
      <c r="L620">
        <v>0.7</v>
      </c>
      <c r="M620">
        <v>500</v>
      </c>
      <c r="N620">
        <v>500</v>
      </c>
      <c r="O620">
        <v>0.7</v>
      </c>
      <c r="P620">
        <v>100</v>
      </c>
      <c r="Q620">
        <v>100</v>
      </c>
      <c r="R620">
        <v>0.7</v>
      </c>
      <c r="S620">
        <v>2000000</v>
      </c>
      <c r="T620" t="s">
        <v>112</v>
      </c>
      <c r="U620" t="s">
        <v>112</v>
      </c>
      <c r="W620">
        <v>100000</v>
      </c>
      <c r="X620" t="b">
        <v>0</v>
      </c>
    </row>
    <row r="621" spans="1:24" x14ac:dyDescent="0.25">
      <c r="A621">
        <v>620</v>
      </c>
      <c r="B621" t="s">
        <v>1135</v>
      </c>
      <c r="C621">
        <v>5</v>
      </c>
      <c r="D621">
        <v>25</v>
      </c>
      <c r="E621">
        <v>50</v>
      </c>
      <c r="F621">
        <v>0</v>
      </c>
      <c r="G621">
        <v>3</v>
      </c>
      <c r="H621">
        <v>5</v>
      </c>
      <c r="I621" t="s">
        <v>112</v>
      </c>
      <c r="J621">
        <v>509</v>
      </c>
      <c r="K621">
        <v>1222</v>
      </c>
      <c r="L621">
        <v>1</v>
      </c>
      <c r="M621">
        <v>356</v>
      </c>
      <c r="N621">
        <v>712</v>
      </c>
      <c r="O621">
        <v>1</v>
      </c>
      <c r="P621">
        <v>214</v>
      </c>
      <c r="Q621">
        <v>449</v>
      </c>
      <c r="R621">
        <v>1</v>
      </c>
      <c r="S621">
        <v>4000000</v>
      </c>
      <c r="T621" t="s">
        <v>1091</v>
      </c>
      <c r="U621" t="s">
        <v>1136</v>
      </c>
      <c r="W621">
        <v>1125</v>
      </c>
      <c r="X621" t="b">
        <v>0</v>
      </c>
    </row>
    <row r="622" spans="1:24" x14ac:dyDescent="0.25">
      <c r="A622">
        <v>621</v>
      </c>
      <c r="B622" t="s">
        <v>1137</v>
      </c>
      <c r="C622">
        <v>6</v>
      </c>
      <c r="D622">
        <v>30</v>
      </c>
      <c r="E622">
        <v>99</v>
      </c>
      <c r="F622">
        <v>0</v>
      </c>
      <c r="G622">
        <v>3</v>
      </c>
      <c r="H622">
        <v>5</v>
      </c>
      <c r="I622" t="s">
        <v>112</v>
      </c>
      <c r="J622">
        <v>978</v>
      </c>
      <c r="K622">
        <v>2445</v>
      </c>
      <c r="L622">
        <v>1</v>
      </c>
      <c r="M622">
        <v>641</v>
      </c>
      <c r="N622">
        <v>1112</v>
      </c>
      <c r="O622">
        <v>1</v>
      </c>
      <c r="P622">
        <v>404</v>
      </c>
      <c r="Q622">
        <v>606</v>
      </c>
      <c r="R622">
        <v>1</v>
      </c>
      <c r="S622">
        <v>4000000</v>
      </c>
      <c r="T622" t="s">
        <v>1138</v>
      </c>
      <c r="U622" t="s">
        <v>1136</v>
      </c>
      <c r="V622" t="s">
        <v>2230</v>
      </c>
      <c r="W622">
        <v>1350</v>
      </c>
      <c r="X622" t="b">
        <v>0</v>
      </c>
    </row>
    <row r="623" spans="1:24" x14ac:dyDescent="0.25">
      <c r="A623">
        <v>622</v>
      </c>
      <c r="B623" t="s">
        <v>1139</v>
      </c>
      <c r="C623">
        <v>5</v>
      </c>
      <c r="D623">
        <v>25</v>
      </c>
      <c r="E623">
        <v>50</v>
      </c>
      <c r="F623">
        <v>1</v>
      </c>
      <c r="G623">
        <v>3</v>
      </c>
      <c r="H623">
        <v>5</v>
      </c>
      <c r="I623" t="s">
        <v>112</v>
      </c>
      <c r="J623">
        <v>508</v>
      </c>
      <c r="K623">
        <v>1219</v>
      </c>
      <c r="L623">
        <v>1</v>
      </c>
      <c r="M623">
        <v>359</v>
      </c>
      <c r="N623">
        <v>718</v>
      </c>
      <c r="O623">
        <v>1</v>
      </c>
      <c r="P623">
        <v>213</v>
      </c>
      <c r="Q623">
        <v>447</v>
      </c>
      <c r="R623">
        <v>1</v>
      </c>
      <c r="S623">
        <v>4000000</v>
      </c>
      <c r="T623" t="s">
        <v>1094</v>
      </c>
      <c r="U623" t="s">
        <v>1140</v>
      </c>
      <c r="W623">
        <v>1125</v>
      </c>
      <c r="X623" t="b">
        <v>0</v>
      </c>
    </row>
    <row r="624" spans="1:24" x14ac:dyDescent="0.25">
      <c r="A624">
        <v>623</v>
      </c>
      <c r="B624" t="s">
        <v>1141</v>
      </c>
      <c r="C624">
        <v>6</v>
      </c>
      <c r="D624">
        <v>30</v>
      </c>
      <c r="E624">
        <v>99</v>
      </c>
      <c r="F624">
        <v>1</v>
      </c>
      <c r="G624">
        <v>3</v>
      </c>
      <c r="H624">
        <v>5</v>
      </c>
      <c r="I624" t="s">
        <v>112</v>
      </c>
      <c r="J624">
        <v>975</v>
      </c>
      <c r="K624">
        <v>2438</v>
      </c>
      <c r="L624">
        <v>1</v>
      </c>
      <c r="M624">
        <v>646</v>
      </c>
      <c r="N624">
        <v>1119</v>
      </c>
      <c r="O624">
        <v>1</v>
      </c>
      <c r="P624">
        <v>402</v>
      </c>
      <c r="Q624">
        <v>603</v>
      </c>
      <c r="R624">
        <v>1</v>
      </c>
      <c r="S624">
        <v>4000000</v>
      </c>
      <c r="T624" t="s">
        <v>1142</v>
      </c>
      <c r="U624" t="s">
        <v>1140</v>
      </c>
      <c r="V624" t="s">
        <v>2231</v>
      </c>
      <c r="W624">
        <v>1350</v>
      </c>
      <c r="X624" t="b">
        <v>0</v>
      </c>
    </row>
    <row r="625" spans="1:24" x14ac:dyDescent="0.25">
      <c r="A625">
        <v>624</v>
      </c>
      <c r="B625" t="s">
        <v>1143</v>
      </c>
      <c r="C625">
        <v>5</v>
      </c>
      <c r="D625">
        <v>25</v>
      </c>
      <c r="E625">
        <v>50</v>
      </c>
      <c r="F625">
        <v>2</v>
      </c>
      <c r="G625">
        <v>3</v>
      </c>
      <c r="H625">
        <v>5</v>
      </c>
      <c r="I625" t="s">
        <v>112</v>
      </c>
      <c r="J625">
        <v>504</v>
      </c>
      <c r="K625">
        <v>1210</v>
      </c>
      <c r="L625">
        <v>1</v>
      </c>
      <c r="M625">
        <v>359</v>
      </c>
      <c r="N625">
        <v>718</v>
      </c>
      <c r="O625">
        <v>1</v>
      </c>
      <c r="P625">
        <v>215</v>
      </c>
      <c r="Q625">
        <v>452</v>
      </c>
      <c r="R625">
        <v>1</v>
      </c>
      <c r="S625">
        <v>4000000</v>
      </c>
      <c r="T625" t="s">
        <v>1097</v>
      </c>
      <c r="U625" t="s">
        <v>1144</v>
      </c>
      <c r="W625">
        <v>1125</v>
      </c>
      <c r="X625" t="b">
        <v>0</v>
      </c>
    </row>
    <row r="626" spans="1:24" x14ac:dyDescent="0.25">
      <c r="A626">
        <v>625</v>
      </c>
      <c r="B626" t="s">
        <v>1145</v>
      </c>
      <c r="C626">
        <v>6</v>
      </c>
      <c r="D626">
        <v>30</v>
      </c>
      <c r="E626">
        <v>99</v>
      </c>
      <c r="F626">
        <v>2</v>
      </c>
      <c r="G626">
        <v>3</v>
      </c>
      <c r="H626">
        <v>5</v>
      </c>
      <c r="I626" t="s">
        <v>112</v>
      </c>
      <c r="J626">
        <v>968</v>
      </c>
      <c r="K626">
        <v>2420</v>
      </c>
      <c r="L626">
        <v>1</v>
      </c>
      <c r="M626">
        <v>646</v>
      </c>
      <c r="N626">
        <v>1119</v>
      </c>
      <c r="O626">
        <v>1</v>
      </c>
      <c r="P626">
        <v>407</v>
      </c>
      <c r="Q626">
        <v>611</v>
      </c>
      <c r="R626">
        <v>1</v>
      </c>
      <c r="S626">
        <v>4000000</v>
      </c>
      <c r="T626" t="s">
        <v>1146</v>
      </c>
      <c r="U626" t="s">
        <v>1144</v>
      </c>
      <c r="V626" t="s">
        <v>2232</v>
      </c>
      <c r="W626">
        <v>1350</v>
      </c>
      <c r="X626" t="b">
        <v>0</v>
      </c>
    </row>
    <row r="627" spans="1:24" x14ac:dyDescent="0.25">
      <c r="A627">
        <v>626</v>
      </c>
      <c r="B627" t="s">
        <v>1147</v>
      </c>
      <c r="C627">
        <v>5</v>
      </c>
      <c r="D627">
        <v>25</v>
      </c>
      <c r="E627">
        <v>50</v>
      </c>
      <c r="F627">
        <v>3</v>
      </c>
      <c r="G627">
        <v>3</v>
      </c>
      <c r="H627">
        <v>5</v>
      </c>
      <c r="I627" t="s">
        <v>112</v>
      </c>
      <c r="J627">
        <v>546</v>
      </c>
      <c r="K627">
        <v>1310</v>
      </c>
      <c r="L627">
        <v>1</v>
      </c>
      <c r="M627">
        <v>362</v>
      </c>
      <c r="N627">
        <v>724</v>
      </c>
      <c r="O627">
        <v>1</v>
      </c>
      <c r="P627">
        <v>192</v>
      </c>
      <c r="Q627">
        <v>403</v>
      </c>
      <c r="R627">
        <v>1</v>
      </c>
      <c r="S627">
        <v>4000000</v>
      </c>
      <c r="T627" t="s">
        <v>1100</v>
      </c>
      <c r="U627" t="s">
        <v>1148</v>
      </c>
      <c r="W627">
        <v>1125</v>
      </c>
      <c r="X627" t="b">
        <v>0</v>
      </c>
    </row>
    <row r="628" spans="1:24" x14ac:dyDescent="0.25">
      <c r="A628">
        <v>627</v>
      </c>
      <c r="B628" t="s">
        <v>1149</v>
      </c>
      <c r="C628">
        <v>6</v>
      </c>
      <c r="D628">
        <v>30</v>
      </c>
      <c r="E628">
        <v>99</v>
      </c>
      <c r="F628">
        <v>3</v>
      </c>
      <c r="G628">
        <v>3</v>
      </c>
      <c r="H628">
        <v>5</v>
      </c>
      <c r="I628" t="s">
        <v>112</v>
      </c>
      <c r="J628">
        <v>1048</v>
      </c>
      <c r="K628">
        <v>2620</v>
      </c>
      <c r="L628">
        <v>1</v>
      </c>
      <c r="M628">
        <v>652</v>
      </c>
      <c r="N628">
        <v>1128</v>
      </c>
      <c r="O628">
        <v>1</v>
      </c>
      <c r="P628">
        <v>363</v>
      </c>
      <c r="Q628">
        <v>545</v>
      </c>
      <c r="R628">
        <v>1</v>
      </c>
      <c r="S628">
        <v>4000000</v>
      </c>
      <c r="T628" t="s">
        <v>1150</v>
      </c>
      <c r="U628" t="s">
        <v>1148</v>
      </c>
      <c r="V628" t="s">
        <v>2233</v>
      </c>
      <c r="W628">
        <v>1350</v>
      </c>
      <c r="X628" t="b">
        <v>0</v>
      </c>
    </row>
    <row r="629" spans="1:24" x14ac:dyDescent="0.25">
      <c r="A629">
        <v>628</v>
      </c>
      <c r="B629" t="s">
        <v>1151</v>
      </c>
      <c r="C629">
        <v>5</v>
      </c>
      <c r="D629">
        <v>25</v>
      </c>
      <c r="E629">
        <v>50</v>
      </c>
      <c r="F629">
        <v>4</v>
      </c>
      <c r="G629">
        <v>3</v>
      </c>
      <c r="H629">
        <v>5</v>
      </c>
      <c r="I629" t="s">
        <v>112</v>
      </c>
      <c r="J629">
        <v>506</v>
      </c>
      <c r="K629">
        <v>1214</v>
      </c>
      <c r="L629">
        <v>1</v>
      </c>
      <c r="M629">
        <v>419</v>
      </c>
      <c r="N629">
        <v>838</v>
      </c>
      <c r="O629">
        <v>1</v>
      </c>
      <c r="P629">
        <v>195</v>
      </c>
      <c r="Q629">
        <v>410</v>
      </c>
      <c r="R629">
        <v>1</v>
      </c>
      <c r="S629">
        <v>4000000</v>
      </c>
      <c r="T629" t="s">
        <v>1104</v>
      </c>
      <c r="U629" t="s">
        <v>1152</v>
      </c>
      <c r="W629">
        <v>1125</v>
      </c>
      <c r="X629" t="b">
        <v>0</v>
      </c>
    </row>
    <row r="630" spans="1:24" x14ac:dyDescent="0.25">
      <c r="A630">
        <v>629</v>
      </c>
      <c r="B630" t="s">
        <v>1153</v>
      </c>
      <c r="C630">
        <v>6</v>
      </c>
      <c r="D630">
        <v>30</v>
      </c>
      <c r="E630">
        <v>99</v>
      </c>
      <c r="F630">
        <v>4</v>
      </c>
      <c r="G630">
        <v>3</v>
      </c>
      <c r="H630">
        <v>5</v>
      </c>
      <c r="I630" t="s">
        <v>112</v>
      </c>
      <c r="J630">
        <v>971</v>
      </c>
      <c r="K630">
        <v>2428</v>
      </c>
      <c r="L630">
        <v>1</v>
      </c>
      <c r="M630">
        <v>754</v>
      </c>
      <c r="N630">
        <v>1206</v>
      </c>
      <c r="O630">
        <v>1</v>
      </c>
      <c r="P630">
        <v>369</v>
      </c>
      <c r="Q630">
        <v>554</v>
      </c>
      <c r="R630">
        <v>1</v>
      </c>
      <c r="S630">
        <v>4000000</v>
      </c>
      <c r="T630" t="s">
        <v>1154</v>
      </c>
      <c r="U630" t="s">
        <v>1152</v>
      </c>
      <c r="V630" t="s">
        <v>2234</v>
      </c>
      <c r="W630">
        <v>1350</v>
      </c>
      <c r="X630" t="b">
        <v>0</v>
      </c>
    </row>
    <row r="631" spans="1:24" x14ac:dyDescent="0.25">
      <c r="A631">
        <v>630</v>
      </c>
      <c r="B631" t="s">
        <v>1155</v>
      </c>
      <c r="C631">
        <v>5</v>
      </c>
      <c r="D631">
        <v>25</v>
      </c>
      <c r="E631">
        <v>50</v>
      </c>
      <c r="F631">
        <v>0</v>
      </c>
      <c r="G631">
        <v>4</v>
      </c>
      <c r="H631">
        <v>7</v>
      </c>
      <c r="I631" t="s">
        <v>112</v>
      </c>
      <c r="J631">
        <v>571</v>
      </c>
      <c r="K631">
        <v>1370</v>
      </c>
      <c r="L631">
        <v>1</v>
      </c>
      <c r="M631">
        <v>502</v>
      </c>
      <c r="N631">
        <v>1004</v>
      </c>
      <c r="O631">
        <v>1</v>
      </c>
      <c r="P631">
        <v>115</v>
      </c>
      <c r="Q631">
        <v>242</v>
      </c>
      <c r="R631">
        <v>1</v>
      </c>
      <c r="S631">
        <v>4000000</v>
      </c>
      <c r="T631" t="s">
        <v>1156</v>
      </c>
      <c r="U631" t="s">
        <v>1157</v>
      </c>
      <c r="W631">
        <v>1125</v>
      </c>
      <c r="X631" t="b">
        <v>0</v>
      </c>
    </row>
    <row r="632" spans="1:24" x14ac:dyDescent="0.25">
      <c r="A632">
        <v>631</v>
      </c>
      <c r="B632" t="s">
        <v>1158</v>
      </c>
      <c r="C632">
        <v>6</v>
      </c>
      <c r="D632">
        <v>30</v>
      </c>
      <c r="E632">
        <v>99</v>
      </c>
      <c r="F632">
        <v>0</v>
      </c>
      <c r="G632">
        <v>4</v>
      </c>
      <c r="H632">
        <v>7</v>
      </c>
      <c r="I632" t="s">
        <v>112</v>
      </c>
      <c r="J632">
        <v>1096</v>
      </c>
      <c r="K632">
        <v>2740</v>
      </c>
      <c r="L632">
        <v>1</v>
      </c>
      <c r="M632">
        <v>904</v>
      </c>
      <c r="N632">
        <v>1456</v>
      </c>
      <c r="O632">
        <v>1</v>
      </c>
      <c r="P632">
        <v>218</v>
      </c>
      <c r="Q632">
        <v>327</v>
      </c>
      <c r="R632">
        <v>1</v>
      </c>
      <c r="S632">
        <v>4000000</v>
      </c>
      <c r="T632" t="s">
        <v>1159</v>
      </c>
      <c r="U632" t="s">
        <v>1157</v>
      </c>
      <c r="V632" t="s">
        <v>2235</v>
      </c>
      <c r="W632">
        <v>1350</v>
      </c>
      <c r="X632" t="b">
        <v>0</v>
      </c>
    </row>
    <row r="633" spans="1:24" x14ac:dyDescent="0.25">
      <c r="A633">
        <v>632</v>
      </c>
      <c r="B633" t="s">
        <v>1160</v>
      </c>
      <c r="C633">
        <v>5</v>
      </c>
      <c r="D633">
        <v>25</v>
      </c>
      <c r="E633">
        <v>50</v>
      </c>
      <c r="F633">
        <v>1</v>
      </c>
      <c r="G633">
        <v>4</v>
      </c>
      <c r="H633">
        <v>7</v>
      </c>
      <c r="I633" t="s">
        <v>112</v>
      </c>
      <c r="J633">
        <v>541</v>
      </c>
      <c r="K633">
        <v>1298</v>
      </c>
      <c r="L633">
        <v>1</v>
      </c>
      <c r="M633">
        <v>468</v>
      </c>
      <c r="N633">
        <v>936</v>
      </c>
      <c r="O633">
        <v>1</v>
      </c>
      <c r="P633">
        <v>149</v>
      </c>
      <c r="Q633">
        <v>313</v>
      </c>
      <c r="R633">
        <v>1</v>
      </c>
      <c r="S633">
        <v>4000000</v>
      </c>
      <c r="T633" t="s">
        <v>1161</v>
      </c>
      <c r="U633" t="s">
        <v>1162</v>
      </c>
      <c r="W633">
        <v>1125</v>
      </c>
      <c r="X633" t="b">
        <v>0</v>
      </c>
    </row>
    <row r="634" spans="1:24" x14ac:dyDescent="0.25">
      <c r="A634">
        <v>633</v>
      </c>
      <c r="B634" t="s">
        <v>1163</v>
      </c>
      <c r="C634">
        <v>6</v>
      </c>
      <c r="D634">
        <v>30</v>
      </c>
      <c r="E634">
        <v>99</v>
      </c>
      <c r="F634">
        <v>1</v>
      </c>
      <c r="G634">
        <v>4</v>
      </c>
      <c r="H634">
        <v>7</v>
      </c>
      <c r="I634" t="s">
        <v>112</v>
      </c>
      <c r="J634">
        <v>1038</v>
      </c>
      <c r="K634">
        <v>2595</v>
      </c>
      <c r="L634">
        <v>1</v>
      </c>
      <c r="M634">
        <v>842</v>
      </c>
      <c r="N634">
        <v>1363</v>
      </c>
      <c r="O634">
        <v>1</v>
      </c>
      <c r="P634">
        <v>282</v>
      </c>
      <c r="Q634">
        <v>423</v>
      </c>
      <c r="R634">
        <v>1</v>
      </c>
      <c r="S634">
        <v>4000000</v>
      </c>
      <c r="T634" t="s">
        <v>1164</v>
      </c>
      <c r="U634" t="s">
        <v>1162</v>
      </c>
      <c r="V634" t="s">
        <v>2236</v>
      </c>
      <c r="W634">
        <v>1350</v>
      </c>
      <c r="X634" t="b">
        <v>0</v>
      </c>
    </row>
    <row r="635" spans="1:24" x14ac:dyDescent="0.25">
      <c r="A635">
        <v>634</v>
      </c>
      <c r="B635" t="s">
        <v>1165</v>
      </c>
      <c r="C635">
        <v>5</v>
      </c>
      <c r="D635">
        <v>25</v>
      </c>
      <c r="E635">
        <v>50</v>
      </c>
      <c r="F635">
        <v>2</v>
      </c>
      <c r="G635">
        <v>4</v>
      </c>
      <c r="H635">
        <v>7</v>
      </c>
      <c r="I635" t="s">
        <v>112</v>
      </c>
      <c r="J635">
        <v>521</v>
      </c>
      <c r="K635">
        <v>1250</v>
      </c>
      <c r="L635">
        <v>1</v>
      </c>
      <c r="M635">
        <v>400</v>
      </c>
      <c r="N635">
        <v>800</v>
      </c>
      <c r="O635">
        <v>1</v>
      </c>
      <c r="P635">
        <v>199</v>
      </c>
      <c r="Q635">
        <v>418</v>
      </c>
      <c r="R635">
        <v>1</v>
      </c>
      <c r="S635">
        <v>4000000</v>
      </c>
      <c r="T635" t="s">
        <v>1166</v>
      </c>
      <c r="U635" t="s">
        <v>1167</v>
      </c>
      <c r="W635">
        <v>1125</v>
      </c>
      <c r="X635" t="b">
        <v>0</v>
      </c>
    </row>
    <row r="636" spans="1:24" x14ac:dyDescent="0.25">
      <c r="A636">
        <v>635</v>
      </c>
      <c r="B636" t="s">
        <v>1168</v>
      </c>
      <c r="C636">
        <v>6</v>
      </c>
      <c r="D636">
        <v>30</v>
      </c>
      <c r="E636">
        <v>99</v>
      </c>
      <c r="F636">
        <v>2</v>
      </c>
      <c r="G636">
        <v>4</v>
      </c>
      <c r="H636">
        <v>7</v>
      </c>
      <c r="I636" t="s">
        <v>112</v>
      </c>
      <c r="J636">
        <v>1000</v>
      </c>
      <c r="K636">
        <v>2500</v>
      </c>
      <c r="L636">
        <v>1</v>
      </c>
      <c r="M636">
        <v>720</v>
      </c>
      <c r="N636">
        <v>1180</v>
      </c>
      <c r="O636">
        <v>1</v>
      </c>
      <c r="P636">
        <v>376</v>
      </c>
      <c r="Q636">
        <v>564</v>
      </c>
      <c r="R636">
        <v>1</v>
      </c>
      <c r="S636">
        <v>4000000</v>
      </c>
      <c r="T636" t="s">
        <v>1169</v>
      </c>
      <c r="U636" t="s">
        <v>1167</v>
      </c>
      <c r="V636" t="s">
        <v>2237</v>
      </c>
      <c r="W636">
        <v>1350</v>
      </c>
      <c r="X636" t="b">
        <v>0</v>
      </c>
    </row>
    <row r="637" spans="1:24" x14ac:dyDescent="0.25">
      <c r="A637">
        <v>636</v>
      </c>
      <c r="B637" t="s">
        <v>1170</v>
      </c>
      <c r="C637">
        <v>5</v>
      </c>
      <c r="D637">
        <v>25</v>
      </c>
      <c r="E637">
        <v>50</v>
      </c>
      <c r="F637">
        <v>3</v>
      </c>
      <c r="G637">
        <v>4</v>
      </c>
      <c r="H637">
        <v>7</v>
      </c>
      <c r="I637" t="s">
        <v>112</v>
      </c>
      <c r="J637">
        <v>561</v>
      </c>
      <c r="K637">
        <v>1346</v>
      </c>
      <c r="L637">
        <v>1</v>
      </c>
      <c r="M637">
        <v>491</v>
      </c>
      <c r="N637">
        <v>982</v>
      </c>
      <c r="O637">
        <v>1</v>
      </c>
      <c r="P637">
        <v>127</v>
      </c>
      <c r="Q637">
        <v>267</v>
      </c>
      <c r="R637">
        <v>1</v>
      </c>
      <c r="S637">
        <v>4000000</v>
      </c>
      <c r="T637" t="s">
        <v>1171</v>
      </c>
      <c r="U637" t="s">
        <v>1172</v>
      </c>
      <c r="W637">
        <v>1125</v>
      </c>
      <c r="X637" t="b">
        <v>0</v>
      </c>
    </row>
    <row r="638" spans="1:24" x14ac:dyDescent="0.25">
      <c r="A638">
        <v>637</v>
      </c>
      <c r="B638" t="s">
        <v>1173</v>
      </c>
      <c r="C638">
        <v>6</v>
      </c>
      <c r="D638">
        <v>30</v>
      </c>
      <c r="E638">
        <v>99</v>
      </c>
      <c r="F638">
        <v>3</v>
      </c>
      <c r="G638">
        <v>4</v>
      </c>
      <c r="H638">
        <v>7</v>
      </c>
      <c r="I638" t="s">
        <v>112</v>
      </c>
      <c r="J638">
        <v>1077</v>
      </c>
      <c r="K638">
        <v>2693</v>
      </c>
      <c r="L638">
        <v>1</v>
      </c>
      <c r="M638">
        <v>884</v>
      </c>
      <c r="N638">
        <v>1326</v>
      </c>
      <c r="O638">
        <v>1</v>
      </c>
      <c r="P638">
        <v>240</v>
      </c>
      <c r="Q638">
        <v>360</v>
      </c>
      <c r="R638">
        <v>1</v>
      </c>
      <c r="S638">
        <v>4000000</v>
      </c>
      <c r="T638" t="s">
        <v>1171</v>
      </c>
      <c r="U638" t="s">
        <v>1172</v>
      </c>
      <c r="V638" t="s">
        <v>2238</v>
      </c>
      <c r="W638">
        <v>1350</v>
      </c>
      <c r="X638" t="b">
        <v>0</v>
      </c>
    </row>
    <row r="639" spans="1:24" x14ac:dyDescent="0.25">
      <c r="A639">
        <v>638</v>
      </c>
      <c r="B639" t="s">
        <v>1174</v>
      </c>
      <c r="C639">
        <v>5</v>
      </c>
      <c r="D639">
        <v>25</v>
      </c>
      <c r="E639">
        <v>50</v>
      </c>
      <c r="F639">
        <v>4</v>
      </c>
      <c r="G639">
        <v>4</v>
      </c>
      <c r="H639">
        <v>7</v>
      </c>
      <c r="I639" t="s">
        <v>112</v>
      </c>
      <c r="J639">
        <v>506</v>
      </c>
      <c r="K639">
        <v>1214</v>
      </c>
      <c r="L639">
        <v>1</v>
      </c>
      <c r="M639">
        <v>419</v>
      </c>
      <c r="N639">
        <v>838</v>
      </c>
      <c r="O639">
        <v>1</v>
      </c>
      <c r="P639">
        <v>195</v>
      </c>
      <c r="Q639">
        <v>410</v>
      </c>
      <c r="R639">
        <v>1</v>
      </c>
      <c r="S639">
        <v>4000000</v>
      </c>
      <c r="T639" t="s">
        <v>1161</v>
      </c>
      <c r="U639" t="s">
        <v>1175</v>
      </c>
      <c r="W639">
        <v>1125</v>
      </c>
      <c r="X639" t="b">
        <v>0</v>
      </c>
    </row>
    <row r="640" spans="1:24" x14ac:dyDescent="0.25">
      <c r="A640">
        <v>639</v>
      </c>
      <c r="B640" t="s">
        <v>1176</v>
      </c>
      <c r="C640">
        <v>6</v>
      </c>
      <c r="D640">
        <v>30</v>
      </c>
      <c r="E640">
        <v>99</v>
      </c>
      <c r="F640">
        <v>4</v>
      </c>
      <c r="G640">
        <v>4</v>
      </c>
      <c r="H640">
        <v>7</v>
      </c>
      <c r="I640" t="s">
        <v>112</v>
      </c>
      <c r="J640">
        <v>971</v>
      </c>
      <c r="K640">
        <v>2428</v>
      </c>
      <c r="L640">
        <v>1</v>
      </c>
      <c r="M640">
        <v>754</v>
      </c>
      <c r="N640">
        <v>1206</v>
      </c>
      <c r="O640">
        <v>1</v>
      </c>
      <c r="P640">
        <v>369</v>
      </c>
      <c r="Q640">
        <v>554</v>
      </c>
      <c r="R640">
        <v>1</v>
      </c>
      <c r="S640">
        <v>4000000</v>
      </c>
      <c r="T640" t="s">
        <v>1177</v>
      </c>
      <c r="U640" t="s">
        <v>1175</v>
      </c>
      <c r="V640" t="s">
        <v>2239</v>
      </c>
      <c r="W640">
        <v>1350</v>
      </c>
      <c r="X640" t="b">
        <v>0</v>
      </c>
    </row>
    <row r="641" spans="1:24" x14ac:dyDescent="0.25">
      <c r="A641">
        <v>640</v>
      </c>
      <c r="B641" t="s">
        <v>1178</v>
      </c>
      <c r="C641">
        <v>5</v>
      </c>
      <c r="D641">
        <v>30</v>
      </c>
      <c r="E641">
        <v>50</v>
      </c>
      <c r="F641">
        <v>3</v>
      </c>
      <c r="G641" t="s">
        <v>112</v>
      </c>
      <c r="H641">
        <v>5</v>
      </c>
      <c r="I641">
        <v>3</v>
      </c>
      <c r="J641">
        <v>511</v>
      </c>
      <c r="K641">
        <v>1226</v>
      </c>
      <c r="L641">
        <v>1</v>
      </c>
      <c r="M641">
        <v>294</v>
      </c>
      <c r="N641">
        <v>647</v>
      </c>
      <c r="O641">
        <v>1</v>
      </c>
      <c r="P641">
        <v>153</v>
      </c>
      <c r="Q641">
        <v>383</v>
      </c>
      <c r="R641">
        <v>1</v>
      </c>
      <c r="S641">
        <v>5000000</v>
      </c>
      <c r="T641" t="s">
        <v>1179</v>
      </c>
      <c r="U641" t="s">
        <v>1180</v>
      </c>
      <c r="W641">
        <v>1312.5</v>
      </c>
      <c r="X641" t="b">
        <v>0</v>
      </c>
    </row>
    <row r="642" spans="1:24" x14ac:dyDescent="0.25">
      <c r="A642">
        <v>641</v>
      </c>
      <c r="B642" t="s">
        <v>1181</v>
      </c>
      <c r="C642">
        <v>6</v>
      </c>
      <c r="D642">
        <v>50</v>
      </c>
      <c r="E642">
        <v>99</v>
      </c>
      <c r="F642">
        <v>3</v>
      </c>
      <c r="G642">
        <v>3</v>
      </c>
      <c r="H642">
        <v>5</v>
      </c>
      <c r="I642">
        <v>3</v>
      </c>
      <c r="J642">
        <v>981</v>
      </c>
      <c r="K642">
        <v>2354</v>
      </c>
      <c r="L642">
        <v>1</v>
      </c>
      <c r="M642">
        <v>582</v>
      </c>
      <c r="N642">
        <v>1280</v>
      </c>
      <c r="O642">
        <v>1</v>
      </c>
      <c r="P642">
        <v>345</v>
      </c>
      <c r="Q642">
        <v>863</v>
      </c>
      <c r="R642">
        <v>1</v>
      </c>
      <c r="S642">
        <v>5000000</v>
      </c>
      <c r="T642" t="s">
        <v>1179</v>
      </c>
      <c r="U642" t="s">
        <v>1180</v>
      </c>
      <c r="V642" t="s">
        <v>1182</v>
      </c>
      <c r="W642">
        <v>2100</v>
      </c>
      <c r="X642" t="b">
        <v>0</v>
      </c>
    </row>
    <row r="643" spans="1:24" x14ac:dyDescent="0.25">
      <c r="A643">
        <v>642</v>
      </c>
      <c r="B643" t="s">
        <v>1183</v>
      </c>
      <c r="C643">
        <v>6</v>
      </c>
      <c r="D643">
        <v>40</v>
      </c>
      <c r="E643">
        <v>50</v>
      </c>
      <c r="F643">
        <v>4</v>
      </c>
      <c r="G643" t="s">
        <v>112</v>
      </c>
      <c r="H643">
        <v>5</v>
      </c>
      <c r="I643">
        <v>6</v>
      </c>
      <c r="J643">
        <v>701</v>
      </c>
      <c r="K643">
        <v>1682</v>
      </c>
      <c r="L643">
        <v>1</v>
      </c>
      <c r="M643">
        <v>432</v>
      </c>
      <c r="N643">
        <v>950</v>
      </c>
      <c r="O643">
        <v>1</v>
      </c>
      <c r="P643">
        <v>59</v>
      </c>
      <c r="Q643">
        <v>148</v>
      </c>
      <c r="R643">
        <v>1</v>
      </c>
      <c r="S643">
        <v>5000000</v>
      </c>
      <c r="T643" t="s">
        <v>1184</v>
      </c>
      <c r="U643" t="s">
        <v>1185</v>
      </c>
      <c r="W643">
        <v>1725</v>
      </c>
      <c r="X643" t="b">
        <v>0</v>
      </c>
    </row>
    <row r="644" spans="1:24" x14ac:dyDescent="0.25">
      <c r="A644">
        <v>643</v>
      </c>
      <c r="B644" t="s">
        <v>1186</v>
      </c>
      <c r="C644">
        <v>7</v>
      </c>
      <c r="D644">
        <v>60</v>
      </c>
      <c r="E644">
        <v>99</v>
      </c>
      <c r="F644">
        <v>4</v>
      </c>
      <c r="G644">
        <v>3</v>
      </c>
      <c r="H644">
        <v>5</v>
      </c>
      <c r="I644">
        <v>6</v>
      </c>
      <c r="J644">
        <v>1346</v>
      </c>
      <c r="K644">
        <v>3230</v>
      </c>
      <c r="L644">
        <v>1</v>
      </c>
      <c r="M644">
        <v>855</v>
      </c>
      <c r="N644">
        <v>1881</v>
      </c>
      <c r="O644">
        <v>1</v>
      </c>
      <c r="P644">
        <v>133</v>
      </c>
      <c r="Q644">
        <v>333</v>
      </c>
      <c r="R644">
        <v>1</v>
      </c>
      <c r="S644">
        <v>5000000</v>
      </c>
      <c r="T644" t="s">
        <v>1184</v>
      </c>
      <c r="U644" t="s">
        <v>1185</v>
      </c>
      <c r="V644" t="s">
        <v>1187</v>
      </c>
      <c r="W644">
        <v>2512.5</v>
      </c>
      <c r="X644" t="b">
        <v>0</v>
      </c>
    </row>
    <row r="645" spans="1:24" x14ac:dyDescent="0.25">
      <c r="A645">
        <v>644</v>
      </c>
      <c r="B645" t="s">
        <v>1188</v>
      </c>
      <c r="C645">
        <v>6</v>
      </c>
      <c r="D645">
        <v>40</v>
      </c>
      <c r="E645">
        <v>50</v>
      </c>
      <c r="F645">
        <v>4</v>
      </c>
      <c r="G645" t="s">
        <v>112</v>
      </c>
      <c r="H645">
        <v>7</v>
      </c>
      <c r="I645" t="s">
        <v>112</v>
      </c>
      <c r="J645">
        <v>411</v>
      </c>
      <c r="K645">
        <v>1486</v>
      </c>
      <c r="L645">
        <v>1</v>
      </c>
      <c r="M645">
        <v>746</v>
      </c>
      <c r="N645">
        <v>1492</v>
      </c>
      <c r="O645">
        <v>1</v>
      </c>
      <c r="P645">
        <v>0</v>
      </c>
      <c r="Q645">
        <v>0</v>
      </c>
      <c r="R645">
        <v>1</v>
      </c>
      <c r="S645">
        <v>5000000</v>
      </c>
      <c r="T645" t="s">
        <v>1189</v>
      </c>
      <c r="U645" t="s">
        <v>1190</v>
      </c>
      <c r="W645">
        <v>1725</v>
      </c>
      <c r="X645" t="b">
        <v>0</v>
      </c>
    </row>
    <row r="646" spans="1:24" x14ac:dyDescent="0.25">
      <c r="A646">
        <v>645</v>
      </c>
      <c r="B646" t="s">
        <v>1191</v>
      </c>
      <c r="C646">
        <v>7</v>
      </c>
      <c r="D646">
        <v>60</v>
      </c>
      <c r="E646">
        <v>99</v>
      </c>
      <c r="F646">
        <v>4</v>
      </c>
      <c r="G646">
        <v>1</v>
      </c>
      <c r="H646">
        <v>7</v>
      </c>
      <c r="I646">
        <v>6</v>
      </c>
      <c r="J646">
        <v>789</v>
      </c>
      <c r="K646">
        <v>2473</v>
      </c>
      <c r="L646">
        <v>1</v>
      </c>
      <c r="M646">
        <v>1343</v>
      </c>
      <c r="N646">
        <v>2015</v>
      </c>
      <c r="O646">
        <v>1</v>
      </c>
      <c r="P646">
        <v>0</v>
      </c>
      <c r="Q646">
        <v>0</v>
      </c>
      <c r="R646">
        <v>1</v>
      </c>
      <c r="S646">
        <v>5000000</v>
      </c>
      <c r="T646" t="s">
        <v>1193</v>
      </c>
      <c r="U646" t="s">
        <v>1190</v>
      </c>
      <c r="V646" t="s">
        <v>1192</v>
      </c>
      <c r="W646">
        <v>2512.5</v>
      </c>
      <c r="X646" t="b">
        <v>0</v>
      </c>
    </row>
    <row r="647" spans="1:24" x14ac:dyDescent="0.25">
      <c r="A647">
        <v>646</v>
      </c>
      <c r="B647" t="s">
        <v>1194</v>
      </c>
      <c r="C647">
        <v>6</v>
      </c>
      <c r="D647">
        <v>40</v>
      </c>
      <c r="E647">
        <v>50</v>
      </c>
      <c r="F647">
        <v>4</v>
      </c>
      <c r="G647" t="s">
        <v>112</v>
      </c>
      <c r="H647">
        <v>7</v>
      </c>
      <c r="I647" t="s">
        <v>112</v>
      </c>
      <c r="J647">
        <v>696</v>
      </c>
      <c r="K647">
        <v>1670</v>
      </c>
      <c r="L647">
        <v>1</v>
      </c>
      <c r="M647">
        <v>389</v>
      </c>
      <c r="N647">
        <v>778</v>
      </c>
      <c r="O647">
        <v>1</v>
      </c>
      <c r="P647">
        <v>-9999</v>
      </c>
      <c r="Q647">
        <v>-9999</v>
      </c>
      <c r="R647">
        <v>1</v>
      </c>
      <c r="S647">
        <v>5000000</v>
      </c>
      <c r="T647" t="s">
        <v>1195</v>
      </c>
      <c r="U647" t="s">
        <v>1196</v>
      </c>
      <c r="W647">
        <v>1725</v>
      </c>
      <c r="X647" t="b">
        <v>0</v>
      </c>
    </row>
    <row r="648" spans="1:24" x14ac:dyDescent="0.25">
      <c r="A648">
        <v>647</v>
      </c>
      <c r="B648" t="s">
        <v>1197</v>
      </c>
      <c r="C648">
        <v>7</v>
      </c>
      <c r="D648">
        <v>60</v>
      </c>
      <c r="E648">
        <v>99</v>
      </c>
      <c r="F648">
        <v>4</v>
      </c>
      <c r="G648">
        <v>1</v>
      </c>
      <c r="H648">
        <v>7</v>
      </c>
      <c r="I648" t="s">
        <v>112</v>
      </c>
      <c r="J648">
        <v>1336</v>
      </c>
      <c r="K648">
        <v>6666</v>
      </c>
      <c r="L648">
        <v>1</v>
      </c>
      <c r="M648">
        <v>710</v>
      </c>
      <c r="N648">
        <v>1111</v>
      </c>
      <c r="O648">
        <v>1</v>
      </c>
      <c r="P648">
        <v>-9999</v>
      </c>
      <c r="Q648">
        <v>-9999</v>
      </c>
      <c r="R648">
        <v>1</v>
      </c>
      <c r="S648">
        <v>5000000</v>
      </c>
      <c r="T648" t="s">
        <v>1195</v>
      </c>
      <c r="U648" t="s">
        <v>1196</v>
      </c>
      <c r="V648" t="s">
        <v>1198</v>
      </c>
      <c r="W648">
        <v>2512.5</v>
      </c>
      <c r="X648" t="b">
        <v>0</v>
      </c>
    </row>
    <row r="649" spans="1:24" x14ac:dyDescent="0.25">
      <c r="A649">
        <v>648</v>
      </c>
      <c r="B649" t="s">
        <v>1199</v>
      </c>
      <c r="C649">
        <v>6</v>
      </c>
      <c r="D649">
        <v>40</v>
      </c>
      <c r="E649">
        <v>50</v>
      </c>
      <c r="F649">
        <v>3</v>
      </c>
      <c r="G649">
        <v>2</v>
      </c>
      <c r="H649">
        <v>5</v>
      </c>
      <c r="I649" t="s">
        <v>112</v>
      </c>
      <c r="J649">
        <v>696</v>
      </c>
      <c r="K649">
        <v>1531</v>
      </c>
      <c r="L649">
        <v>1</v>
      </c>
      <c r="M649">
        <v>704</v>
      </c>
      <c r="N649">
        <v>1408</v>
      </c>
      <c r="O649">
        <v>1</v>
      </c>
      <c r="P649">
        <v>0</v>
      </c>
      <c r="Q649">
        <v>0</v>
      </c>
      <c r="R649">
        <v>1</v>
      </c>
      <c r="S649">
        <v>5000000</v>
      </c>
      <c r="T649" t="s">
        <v>1200</v>
      </c>
      <c r="U649" t="s">
        <v>1201</v>
      </c>
      <c r="W649">
        <v>1725</v>
      </c>
      <c r="X649" t="b">
        <v>0</v>
      </c>
    </row>
    <row r="650" spans="1:24" x14ac:dyDescent="0.25">
      <c r="A650">
        <v>649</v>
      </c>
      <c r="B650" t="s">
        <v>1202</v>
      </c>
      <c r="C650">
        <v>7</v>
      </c>
      <c r="D650">
        <v>60</v>
      </c>
      <c r="E650">
        <v>99</v>
      </c>
      <c r="F650">
        <v>3</v>
      </c>
      <c r="G650">
        <v>2</v>
      </c>
      <c r="H650">
        <v>5</v>
      </c>
      <c r="I650" t="s">
        <v>112</v>
      </c>
      <c r="J650">
        <v>1225</v>
      </c>
      <c r="K650">
        <v>2818</v>
      </c>
      <c r="L650">
        <v>1</v>
      </c>
      <c r="M650">
        <v>1267</v>
      </c>
      <c r="N650">
        <v>1901</v>
      </c>
      <c r="O650">
        <v>1</v>
      </c>
      <c r="P650">
        <v>0</v>
      </c>
      <c r="Q650">
        <v>0</v>
      </c>
      <c r="R650">
        <v>1</v>
      </c>
      <c r="S650">
        <v>5000000</v>
      </c>
      <c r="T650" t="s">
        <v>1200</v>
      </c>
      <c r="U650" t="s">
        <v>1201</v>
      </c>
      <c r="V650" t="s">
        <v>1203</v>
      </c>
      <c r="W650">
        <v>2512.5</v>
      </c>
      <c r="X650" t="b">
        <v>0</v>
      </c>
    </row>
    <row r="651" spans="1:24" x14ac:dyDescent="0.25">
      <c r="A651">
        <v>650</v>
      </c>
      <c r="B651" t="s">
        <v>1204</v>
      </c>
      <c r="C651">
        <v>6</v>
      </c>
      <c r="D651">
        <v>45</v>
      </c>
      <c r="E651">
        <v>50</v>
      </c>
      <c r="F651">
        <v>2</v>
      </c>
      <c r="G651" t="s">
        <v>112</v>
      </c>
      <c r="H651">
        <v>5</v>
      </c>
      <c r="I651" t="s">
        <v>112</v>
      </c>
      <c r="J651">
        <v>1280</v>
      </c>
      <c r="K651">
        <v>2138</v>
      </c>
      <c r="L651">
        <v>1</v>
      </c>
      <c r="M651">
        <v>899</v>
      </c>
      <c r="N651">
        <v>1169</v>
      </c>
      <c r="O651">
        <v>1</v>
      </c>
      <c r="P651">
        <v>129</v>
      </c>
      <c r="Q651">
        <v>258</v>
      </c>
      <c r="R651">
        <v>1</v>
      </c>
      <c r="S651">
        <v>5000000</v>
      </c>
      <c r="T651" t="s">
        <v>1205</v>
      </c>
      <c r="U651" t="s">
        <v>1206</v>
      </c>
      <c r="W651">
        <v>1912.5</v>
      </c>
      <c r="X651" t="b">
        <v>0</v>
      </c>
    </row>
    <row r="652" spans="1:24" x14ac:dyDescent="0.25">
      <c r="A652">
        <v>651</v>
      </c>
      <c r="B652" t="s">
        <v>1207</v>
      </c>
      <c r="C652">
        <v>7</v>
      </c>
      <c r="D652">
        <v>60</v>
      </c>
      <c r="E652">
        <v>99</v>
      </c>
      <c r="F652">
        <v>2</v>
      </c>
      <c r="G652">
        <v>3</v>
      </c>
      <c r="H652">
        <v>5</v>
      </c>
      <c r="I652">
        <v>1</v>
      </c>
      <c r="J652">
        <v>1810</v>
      </c>
      <c r="K652">
        <v>3382</v>
      </c>
      <c r="L652">
        <v>1</v>
      </c>
      <c r="M652">
        <v>1052</v>
      </c>
      <c r="N652">
        <v>1368</v>
      </c>
      <c r="O652">
        <v>1</v>
      </c>
      <c r="P652">
        <v>232</v>
      </c>
      <c r="Q652">
        <v>464</v>
      </c>
      <c r="R652">
        <v>1</v>
      </c>
      <c r="S652">
        <v>5000000</v>
      </c>
      <c r="T652" t="s">
        <v>1205</v>
      </c>
      <c r="U652" t="s">
        <v>1206</v>
      </c>
      <c r="V652" t="s">
        <v>1208</v>
      </c>
      <c r="W652">
        <v>2512.5</v>
      </c>
      <c r="X652" t="b">
        <v>0</v>
      </c>
    </row>
    <row r="653" spans="1:24" x14ac:dyDescent="0.25">
      <c r="A653">
        <v>652</v>
      </c>
      <c r="B653" t="s">
        <v>1209</v>
      </c>
      <c r="C653">
        <v>7</v>
      </c>
      <c r="D653">
        <v>35</v>
      </c>
      <c r="E653">
        <v>99</v>
      </c>
      <c r="F653">
        <v>0</v>
      </c>
      <c r="G653">
        <v>0</v>
      </c>
      <c r="H653">
        <v>5</v>
      </c>
      <c r="I653">
        <v>6</v>
      </c>
      <c r="J653">
        <v>1010</v>
      </c>
      <c r="K653">
        <v>2525</v>
      </c>
      <c r="L653">
        <v>1.5</v>
      </c>
      <c r="M653">
        <v>868</v>
      </c>
      <c r="N653">
        <v>1402</v>
      </c>
      <c r="O653">
        <v>1.5</v>
      </c>
      <c r="P653">
        <v>291</v>
      </c>
      <c r="Q653">
        <v>437</v>
      </c>
      <c r="R653">
        <v>1.5</v>
      </c>
      <c r="S653">
        <v>4000000</v>
      </c>
      <c r="T653" t="s">
        <v>1210</v>
      </c>
      <c r="U653" t="s">
        <v>704</v>
      </c>
      <c r="V653" t="s">
        <v>2182</v>
      </c>
      <c r="W653">
        <v>1575</v>
      </c>
      <c r="X653" t="b">
        <v>0</v>
      </c>
    </row>
    <row r="654" spans="1:24" x14ac:dyDescent="0.25">
      <c r="A654">
        <v>653</v>
      </c>
      <c r="B654" t="s">
        <v>1211</v>
      </c>
      <c r="C654">
        <v>7</v>
      </c>
      <c r="D654">
        <v>35</v>
      </c>
      <c r="E654">
        <v>99</v>
      </c>
      <c r="F654">
        <v>1</v>
      </c>
      <c r="G654">
        <v>1</v>
      </c>
      <c r="H654">
        <v>5</v>
      </c>
      <c r="I654">
        <v>1</v>
      </c>
      <c r="J654">
        <v>966</v>
      </c>
      <c r="K654">
        <v>2455</v>
      </c>
      <c r="L654">
        <v>1.5</v>
      </c>
      <c r="M654">
        <v>821</v>
      </c>
      <c r="N654">
        <v>1252</v>
      </c>
      <c r="O654">
        <v>1.5</v>
      </c>
      <c r="P654">
        <v>346</v>
      </c>
      <c r="Q654">
        <v>529</v>
      </c>
      <c r="R654">
        <v>1.5</v>
      </c>
      <c r="S654">
        <v>4000000</v>
      </c>
      <c r="T654" t="s">
        <v>1212</v>
      </c>
      <c r="U654" t="s">
        <v>708</v>
      </c>
      <c r="V654" t="s">
        <v>2183</v>
      </c>
      <c r="W654">
        <v>1575</v>
      </c>
      <c r="X654" t="b">
        <v>0</v>
      </c>
    </row>
    <row r="655" spans="1:24" x14ac:dyDescent="0.25">
      <c r="A655">
        <v>654</v>
      </c>
      <c r="B655" t="s">
        <v>1213</v>
      </c>
      <c r="C655">
        <v>7</v>
      </c>
      <c r="D655">
        <v>35</v>
      </c>
      <c r="E655">
        <v>99</v>
      </c>
      <c r="F655">
        <v>2</v>
      </c>
      <c r="G655">
        <v>2</v>
      </c>
      <c r="H655">
        <v>5</v>
      </c>
      <c r="I655">
        <v>3</v>
      </c>
      <c r="J655">
        <v>974</v>
      </c>
      <c r="K655">
        <v>2435</v>
      </c>
      <c r="L655">
        <v>1.5</v>
      </c>
      <c r="M655">
        <v>810</v>
      </c>
      <c r="N655">
        <v>1215</v>
      </c>
      <c r="O655">
        <v>1.5</v>
      </c>
      <c r="P655">
        <v>340</v>
      </c>
      <c r="Q655">
        <v>560</v>
      </c>
      <c r="R655">
        <v>1.5</v>
      </c>
      <c r="S655">
        <v>4000000</v>
      </c>
      <c r="T655" t="s">
        <v>1214</v>
      </c>
      <c r="U655" t="s">
        <v>712</v>
      </c>
      <c r="V655" t="s">
        <v>2184</v>
      </c>
      <c r="W655">
        <v>1575</v>
      </c>
      <c r="X655" t="b">
        <v>0</v>
      </c>
    </row>
    <row r="656" spans="1:24" x14ac:dyDescent="0.25">
      <c r="A656">
        <v>655</v>
      </c>
      <c r="B656" t="s">
        <v>1215</v>
      </c>
      <c r="C656">
        <v>7</v>
      </c>
      <c r="D656">
        <v>35</v>
      </c>
      <c r="E656">
        <v>99</v>
      </c>
      <c r="F656">
        <v>3</v>
      </c>
      <c r="G656">
        <v>3</v>
      </c>
      <c r="H656">
        <v>5</v>
      </c>
      <c r="I656">
        <v>2</v>
      </c>
      <c r="J656">
        <v>1125</v>
      </c>
      <c r="K656">
        <v>3013</v>
      </c>
      <c r="L656">
        <v>1.5</v>
      </c>
      <c r="M656">
        <v>900</v>
      </c>
      <c r="N656">
        <v>1350</v>
      </c>
      <c r="O656">
        <v>1.5</v>
      </c>
      <c r="P656">
        <v>189</v>
      </c>
      <c r="Q656">
        <v>284</v>
      </c>
      <c r="R656">
        <v>1.5</v>
      </c>
      <c r="S656">
        <v>4000000</v>
      </c>
      <c r="T656" t="s">
        <v>1216</v>
      </c>
      <c r="U656" t="s">
        <v>717</v>
      </c>
      <c r="V656" t="s">
        <v>2185</v>
      </c>
      <c r="W656">
        <v>1575</v>
      </c>
      <c r="X656" t="b">
        <v>0</v>
      </c>
    </row>
    <row r="657" spans="1:24" x14ac:dyDescent="0.25">
      <c r="A657">
        <v>656</v>
      </c>
      <c r="B657" t="s">
        <v>1217</v>
      </c>
      <c r="C657">
        <v>7</v>
      </c>
      <c r="D657">
        <v>35</v>
      </c>
      <c r="E657">
        <v>99</v>
      </c>
      <c r="F657">
        <v>4</v>
      </c>
      <c r="G657">
        <v>4</v>
      </c>
      <c r="H657">
        <v>5</v>
      </c>
      <c r="I657">
        <v>7</v>
      </c>
      <c r="J657">
        <v>987</v>
      </c>
      <c r="K657">
        <v>2528</v>
      </c>
      <c r="L657">
        <v>1.5</v>
      </c>
      <c r="M657">
        <v>841</v>
      </c>
      <c r="N657">
        <v>1292</v>
      </c>
      <c r="O657">
        <v>1.5</v>
      </c>
      <c r="P657">
        <v>318</v>
      </c>
      <c r="Q657">
        <v>477</v>
      </c>
      <c r="R657">
        <v>1.5</v>
      </c>
      <c r="S657">
        <v>4000000</v>
      </c>
      <c r="T657" t="s">
        <v>1218</v>
      </c>
      <c r="U657" t="s">
        <v>722</v>
      </c>
      <c r="V657" t="s">
        <v>2186</v>
      </c>
      <c r="W657">
        <v>1575</v>
      </c>
      <c r="X657" t="b">
        <v>0</v>
      </c>
    </row>
    <row r="658" spans="1:24" x14ac:dyDescent="0.25">
      <c r="A658">
        <v>657</v>
      </c>
      <c r="B658" t="s">
        <v>1219</v>
      </c>
      <c r="C658">
        <v>7</v>
      </c>
      <c r="D658">
        <v>40</v>
      </c>
      <c r="E658">
        <v>99</v>
      </c>
      <c r="F658">
        <v>3</v>
      </c>
      <c r="G658">
        <v>3</v>
      </c>
      <c r="H658">
        <v>5</v>
      </c>
      <c r="I658">
        <v>4</v>
      </c>
      <c r="J658">
        <v>1643</v>
      </c>
      <c r="K658">
        <v>3450</v>
      </c>
      <c r="L658">
        <v>1.5</v>
      </c>
      <c r="M658">
        <v>911</v>
      </c>
      <c r="N658">
        <v>1467</v>
      </c>
      <c r="O658">
        <v>1.5</v>
      </c>
      <c r="P658">
        <v>146</v>
      </c>
      <c r="Q658">
        <v>219</v>
      </c>
      <c r="R658">
        <v>1.5</v>
      </c>
      <c r="S658">
        <v>4000000</v>
      </c>
      <c r="T658" t="s">
        <v>1220</v>
      </c>
      <c r="U658" t="s">
        <v>506</v>
      </c>
      <c r="V658" t="s">
        <v>2168</v>
      </c>
      <c r="W658">
        <v>1762.5</v>
      </c>
      <c r="X658" t="b">
        <v>0</v>
      </c>
    </row>
    <row r="659" spans="1:24" x14ac:dyDescent="0.25">
      <c r="A659">
        <v>658</v>
      </c>
      <c r="B659" t="s">
        <v>1221</v>
      </c>
      <c r="C659">
        <v>7</v>
      </c>
      <c r="D659">
        <v>40</v>
      </c>
      <c r="E659">
        <v>99</v>
      </c>
      <c r="F659">
        <v>4</v>
      </c>
      <c r="G659">
        <v>4</v>
      </c>
      <c r="H659">
        <v>5</v>
      </c>
      <c r="I659">
        <v>4</v>
      </c>
      <c r="J659">
        <v>1746</v>
      </c>
      <c r="K659">
        <v>3667</v>
      </c>
      <c r="L659">
        <v>1.5</v>
      </c>
      <c r="M659">
        <v>883</v>
      </c>
      <c r="N659">
        <v>1475</v>
      </c>
      <c r="O659">
        <v>1.5</v>
      </c>
      <c r="P659">
        <v>74</v>
      </c>
      <c r="Q659">
        <v>111</v>
      </c>
      <c r="R659">
        <v>1.5</v>
      </c>
      <c r="S659">
        <v>4000000</v>
      </c>
      <c r="T659" t="s">
        <v>1222</v>
      </c>
      <c r="U659" t="s">
        <v>511</v>
      </c>
      <c r="V659" t="s">
        <v>2169</v>
      </c>
      <c r="W659">
        <v>1762.5</v>
      </c>
      <c r="X659" t="b">
        <v>0</v>
      </c>
    </row>
    <row r="660" spans="1:24" x14ac:dyDescent="0.25">
      <c r="A660">
        <v>659</v>
      </c>
      <c r="B660" t="s">
        <v>1223</v>
      </c>
      <c r="C660">
        <v>4</v>
      </c>
      <c r="D660">
        <v>10</v>
      </c>
      <c r="E660">
        <v>35</v>
      </c>
      <c r="F660">
        <v>2</v>
      </c>
      <c r="G660" t="s">
        <v>112</v>
      </c>
      <c r="H660">
        <v>2</v>
      </c>
      <c r="I660" t="s">
        <v>112</v>
      </c>
      <c r="J660">
        <v>36</v>
      </c>
      <c r="K660">
        <v>360</v>
      </c>
      <c r="L660">
        <v>1</v>
      </c>
      <c r="M660">
        <v>36</v>
      </c>
      <c r="N660">
        <v>360</v>
      </c>
      <c r="O660">
        <v>1</v>
      </c>
      <c r="P660">
        <v>36</v>
      </c>
      <c r="Q660">
        <v>36</v>
      </c>
      <c r="R660">
        <v>1</v>
      </c>
      <c r="S660">
        <v>1500000</v>
      </c>
      <c r="T660" t="s">
        <v>1224</v>
      </c>
      <c r="U660" t="s">
        <v>112</v>
      </c>
      <c r="W660">
        <v>525</v>
      </c>
      <c r="X660" t="b">
        <v>0</v>
      </c>
    </row>
    <row r="661" spans="1:24" x14ac:dyDescent="0.25">
      <c r="A661">
        <v>660</v>
      </c>
      <c r="B661" t="s">
        <v>1225</v>
      </c>
      <c r="C661">
        <v>5</v>
      </c>
      <c r="D661">
        <v>15</v>
      </c>
      <c r="E661">
        <v>99</v>
      </c>
      <c r="F661">
        <v>2</v>
      </c>
      <c r="G661" t="s">
        <v>112</v>
      </c>
      <c r="H661">
        <v>2</v>
      </c>
      <c r="I661">
        <v>4</v>
      </c>
      <c r="J661">
        <v>360</v>
      </c>
      <c r="K661">
        <v>3060</v>
      </c>
      <c r="L661">
        <v>1</v>
      </c>
      <c r="M661">
        <v>360</v>
      </c>
      <c r="N661">
        <v>360</v>
      </c>
      <c r="O661">
        <v>1</v>
      </c>
      <c r="P661">
        <v>36</v>
      </c>
      <c r="Q661">
        <v>360</v>
      </c>
      <c r="R661">
        <v>1</v>
      </c>
      <c r="S661">
        <v>3000000</v>
      </c>
      <c r="T661" t="s">
        <v>1224</v>
      </c>
      <c r="U661" t="s">
        <v>1226</v>
      </c>
      <c r="V661" t="s">
        <v>2240</v>
      </c>
      <c r="W661">
        <v>750</v>
      </c>
      <c r="X661" t="b">
        <v>0</v>
      </c>
    </row>
    <row r="662" spans="1:24" x14ac:dyDescent="0.25">
      <c r="A662">
        <v>661</v>
      </c>
      <c r="B662" t="s">
        <v>1227</v>
      </c>
      <c r="C662">
        <v>5</v>
      </c>
      <c r="D662">
        <v>25</v>
      </c>
      <c r="E662">
        <v>99</v>
      </c>
      <c r="F662">
        <v>1</v>
      </c>
      <c r="G662" t="s">
        <v>112</v>
      </c>
      <c r="H662">
        <v>4</v>
      </c>
      <c r="I662">
        <v>7</v>
      </c>
      <c r="J662">
        <v>1176</v>
      </c>
      <c r="K662">
        <v>3040</v>
      </c>
      <c r="L662">
        <v>1</v>
      </c>
      <c r="M662">
        <v>940</v>
      </c>
      <c r="N662">
        <v>1316</v>
      </c>
      <c r="O662">
        <v>1</v>
      </c>
      <c r="P662">
        <v>86</v>
      </c>
      <c r="Q662">
        <v>172</v>
      </c>
      <c r="R662">
        <v>1</v>
      </c>
      <c r="S662">
        <v>4000000</v>
      </c>
      <c r="T662" t="s">
        <v>310</v>
      </c>
      <c r="U662" t="s">
        <v>832</v>
      </c>
      <c r="V662" t="s">
        <v>443</v>
      </c>
      <c r="W662">
        <v>1125</v>
      </c>
      <c r="X662" t="b">
        <v>0</v>
      </c>
    </row>
    <row r="663" spans="1:24" x14ac:dyDescent="0.25">
      <c r="A663">
        <v>662</v>
      </c>
      <c r="B663" t="s">
        <v>1228</v>
      </c>
      <c r="C663">
        <v>3</v>
      </c>
      <c r="D663">
        <v>5</v>
      </c>
      <c r="E663">
        <v>25</v>
      </c>
      <c r="F663">
        <v>4</v>
      </c>
      <c r="G663" t="s">
        <v>112</v>
      </c>
      <c r="H663">
        <v>6</v>
      </c>
      <c r="I663" t="s">
        <v>112</v>
      </c>
      <c r="J663">
        <v>188</v>
      </c>
      <c r="K663">
        <v>602</v>
      </c>
      <c r="L663">
        <v>1</v>
      </c>
      <c r="M663">
        <v>134</v>
      </c>
      <c r="N663">
        <v>429</v>
      </c>
      <c r="O663">
        <v>1</v>
      </c>
      <c r="P663">
        <v>100</v>
      </c>
      <c r="Q663">
        <v>210</v>
      </c>
      <c r="R663">
        <v>1</v>
      </c>
      <c r="S663">
        <v>1500000</v>
      </c>
      <c r="T663" t="s">
        <v>112</v>
      </c>
      <c r="U663" t="s">
        <v>112</v>
      </c>
      <c r="W663">
        <v>300</v>
      </c>
      <c r="X663" t="b">
        <v>0</v>
      </c>
    </row>
    <row r="664" spans="1:24" x14ac:dyDescent="0.25">
      <c r="A664">
        <v>663</v>
      </c>
      <c r="B664" t="s">
        <v>1873</v>
      </c>
      <c r="C664">
        <v>4</v>
      </c>
      <c r="D664">
        <v>10</v>
      </c>
      <c r="E664">
        <v>70</v>
      </c>
      <c r="F664">
        <v>4</v>
      </c>
      <c r="G664" t="s">
        <v>112</v>
      </c>
      <c r="H664">
        <v>6</v>
      </c>
      <c r="I664" t="s">
        <v>112</v>
      </c>
      <c r="J664">
        <v>542</v>
      </c>
      <c r="K664">
        <v>1463</v>
      </c>
      <c r="L664">
        <v>1</v>
      </c>
      <c r="M664">
        <v>386</v>
      </c>
      <c r="N664">
        <v>965</v>
      </c>
      <c r="O664">
        <v>1</v>
      </c>
      <c r="P664">
        <v>189</v>
      </c>
      <c r="Q664">
        <v>284</v>
      </c>
      <c r="R664">
        <v>1</v>
      </c>
      <c r="S664">
        <v>1500000</v>
      </c>
      <c r="T664" t="s">
        <v>1229</v>
      </c>
      <c r="U664" t="s">
        <v>940</v>
      </c>
      <c r="V664" t="s">
        <v>2241</v>
      </c>
      <c r="W664">
        <v>525</v>
      </c>
      <c r="X664" t="b">
        <v>0</v>
      </c>
    </row>
    <row r="665" spans="1:24" x14ac:dyDescent="0.25">
      <c r="A665">
        <v>664</v>
      </c>
      <c r="B665" t="s">
        <v>1230</v>
      </c>
      <c r="C665">
        <v>3</v>
      </c>
      <c r="D665">
        <v>5</v>
      </c>
      <c r="E665">
        <v>25</v>
      </c>
      <c r="F665">
        <v>1</v>
      </c>
      <c r="G665" t="s">
        <v>112</v>
      </c>
      <c r="H665">
        <v>1</v>
      </c>
      <c r="I665" t="s">
        <v>112</v>
      </c>
      <c r="J665">
        <v>198</v>
      </c>
      <c r="K665">
        <v>634</v>
      </c>
      <c r="L665">
        <v>1</v>
      </c>
      <c r="M665">
        <v>124</v>
      </c>
      <c r="N665">
        <v>397</v>
      </c>
      <c r="O665">
        <v>1</v>
      </c>
      <c r="P665">
        <v>99</v>
      </c>
      <c r="Q665">
        <v>208</v>
      </c>
      <c r="R665">
        <v>1</v>
      </c>
      <c r="S665">
        <v>1500000</v>
      </c>
      <c r="T665" t="s">
        <v>112</v>
      </c>
      <c r="U665" t="s">
        <v>112</v>
      </c>
      <c r="W665">
        <v>300</v>
      </c>
      <c r="X665" t="b">
        <v>0</v>
      </c>
    </row>
    <row r="666" spans="1:24" x14ac:dyDescent="0.25">
      <c r="A666">
        <v>665</v>
      </c>
      <c r="B666" t="s">
        <v>2242</v>
      </c>
      <c r="C666">
        <v>4</v>
      </c>
      <c r="D666">
        <v>10</v>
      </c>
      <c r="E666">
        <v>70</v>
      </c>
      <c r="F666">
        <v>1</v>
      </c>
      <c r="G666" t="s">
        <v>112</v>
      </c>
      <c r="H666">
        <v>1</v>
      </c>
      <c r="I666" t="s">
        <v>112</v>
      </c>
      <c r="J666">
        <v>571</v>
      </c>
      <c r="K666">
        <v>1542</v>
      </c>
      <c r="L666">
        <v>1</v>
      </c>
      <c r="M666">
        <v>357</v>
      </c>
      <c r="N666">
        <v>893</v>
      </c>
      <c r="O666">
        <v>1</v>
      </c>
      <c r="P666">
        <v>187</v>
      </c>
      <c r="Q666">
        <v>281</v>
      </c>
      <c r="R666">
        <v>1</v>
      </c>
      <c r="S666">
        <v>1500000</v>
      </c>
      <c r="T666" t="s">
        <v>1231</v>
      </c>
      <c r="U666" t="s">
        <v>1162</v>
      </c>
      <c r="V666" t="s">
        <v>2243</v>
      </c>
      <c r="W666">
        <v>525</v>
      </c>
      <c r="X666" t="b">
        <v>0</v>
      </c>
    </row>
    <row r="667" spans="1:24" x14ac:dyDescent="0.25">
      <c r="A667">
        <v>666</v>
      </c>
      <c r="B667" t="s">
        <v>1232</v>
      </c>
      <c r="C667">
        <v>5</v>
      </c>
      <c r="D667">
        <v>18</v>
      </c>
      <c r="E667">
        <v>99</v>
      </c>
      <c r="F667">
        <v>3</v>
      </c>
      <c r="G667" t="s">
        <v>112</v>
      </c>
      <c r="H667">
        <v>1</v>
      </c>
      <c r="I667" t="s">
        <v>112</v>
      </c>
      <c r="J667">
        <v>1184</v>
      </c>
      <c r="K667">
        <v>2605</v>
      </c>
      <c r="L667">
        <v>1</v>
      </c>
      <c r="M667">
        <v>642</v>
      </c>
      <c r="N667">
        <v>963</v>
      </c>
      <c r="O667">
        <v>1</v>
      </c>
      <c r="P667">
        <v>294</v>
      </c>
      <c r="Q667">
        <v>382</v>
      </c>
      <c r="R667">
        <v>1</v>
      </c>
      <c r="S667">
        <v>3000000</v>
      </c>
      <c r="T667" t="s">
        <v>658</v>
      </c>
      <c r="U667" t="s">
        <v>322</v>
      </c>
      <c r="V667" t="s">
        <v>2244</v>
      </c>
      <c r="W667">
        <v>862.5</v>
      </c>
      <c r="X667" t="b">
        <v>0</v>
      </c>
    </row>
    <row r="668" spans="1:24" x14ac:dyDescent="0.25">
      <c r="A668">
        <v>667</v>
      </c>
      <c r="B668" t="s">
        <v>1233</v>
      </c>
      <c r="C668">
        <v>4</v>
      </c>
      <c r="D668">
        <v>12</v>
      </c>
      <c r="E668">
        <v>70</v>
      </c>
      <c r="F668">
        <v>4</v>
      </c>
      <c r="G668" t="s">
        <v>112</v>
      </c>
      <c r="H668">
        <v>1</v>
      </c>
      <c r="I668" t="s">
        <v>112</v>
      </c>
      <c r="J668">
        <v>629</v>
      </c>
      <c r="K668">
        <v>1384</v>
      </c>
      <c r="L668">
        <v>1</v>
      </c>
      <c r="M668">
        <v>385</v>
      </c>
      <c r="N668">
        <v>809</v>
      </c>
      <c r="O668">
        <v>1</v>
      </c>
      <c r="P668">
        <v>99</v>
      </c>
      <c r="Q668">
        <v>149</v>
      </c>
      <c r="R668">
        <v>1</v>
      </c>
      <c r="S668">
        <v>1500000</v>
      </c>
      <c r="T668" t="s">
        <v>1234</v>
      </c>
      <c r="U668" t="s">
        <v>722</v>
      </c>
      <c r="W668">
        <v>600</v>
      </c>
      <c r="X668" t="b">
        <v>0</v>
      </c>
    </row>
    <row r="669" spans="1:24" x14ac:dyDescent="0.25">
      <c r="A669">
        <v>668</v>
      </c>
      <c r="B669" t="s">
        <v>1235</v>
      </c>
      <c r="C669">
        <v>5</v>
      </c>
      <c r="D669">
        <v>18</v>
      </c>
      <c r="E669">
        <v>99</v>
      </c>
      <c r="F669">
        <v>4</v>
      </c>
      <c r="G669" t="s">
        <v>112</v>
      </c>
      <c r="H669">
        <v>1</v>
      </c>
      <c r="I669" t="s">
        <v>112</v>
      </c>
      <c r="J669">
        <v>1107</v>
      </c>
      <c r="K669">
        <v>2435</v>
      </c>
      <c r="L669">
        <v>1</v>
      </c>
      <c r="M669">
        <v>728</v>
      </c>
      <c r="N669">
        <v>1165</v>
      </c>
      <c r="O669">
        <v>1</v>
      </c>
      <c r="P669">
        <v>134</v>
      </c>
      <c r="Q669">
        <v>201</v>
      </c>
      <c r="R669">
        <v>1</v>
      </c>
      <c r="S669">
        <v>3000000</v>
      </c>
      <c r="T669" t="s">
        <v>1234</v>
      </c>
      <c r="U669" t="s">
        <v>722</v>
      </c>
      <c r="V669" t="s">
        <v>2245</v>
      </c>
      <c r="W669">
        <v>862.5</v>
      </c>
      <c r="X669" t="b">
        <v>0</v>
      </c>
    </row>
    <row r="670" spans="1:24" x14ac:dyDescent="0.25">
      <c r="A670">
        <v>669</v>
      </c>
      <c r="B670" t="s">
        <v>1874</v>
      </c>
      <c r="C670">
        <v>4</v>
      </c>
      <c r="D670">
        <v>15</v>
      </c>
      <c r="E670">
        <v>50</v>
      </c>
      <c r="F670">
        <v>0</v>
      </c>
      <c r="G670" t="s">
        <v>112</v>
      </c>
      <c r="H670">
        <v>1</v>
      </c>
      <c r="I670" t="s">
        <v>112</v>
      </c>
      <c r="J670">
        <v>689</v>
      </c>
      <c r="K670">
        <v>1516</v>
      </c>
      <c r="L670">
        <v>1</v>
      </c>
      <c r="M670">
        <v>435</v>
      </c>
      <c r="N670">
        <v>914</v>
      </c>
      <c r="O670">
        <v>1</v>
      </c>
      <c r="P670">
        <v>139</v>
      </c>
      <c r="Q670">
        <v>209</v>
      </c>
      <c r="R670">
        <v>1</v>
      </c>
      <c r="S670">
        <v>4000000</v>
      </c>
      <c r="T670" t="s">
        <v>1875</v>
      </c>
      <c r="U670" t="s">
        <v>1876</v>
      </c>
      <c r="W670">
        <v>712.5</v>
      </c>
      <c r="X670" t="b">
        <v>1</v>
      </c>
    </row>
    <row r="671" spans="1:24" x14ac:dyDescent="0.25">
      <c r="A671">
        <v>670</v>
      </c>
      <c r="B671" t="s">
        <v>1877</v>
      </c>
      <c r="C671">
        <v>5</v>
      </c>
      <c r="D671">
        <v>20</v>
      </c>
      <c r="E671">
        <v>99</v>
      </c>
      <c r="F671">
        <v>0</v>
      </c>
      <c r="G671" t="s">
        <v>112</v>
      </c>
      <c r="H671">
        <v>1</v>
      </c>
      <c r="I671" t="s">
        <v>112</v>
      </c>
      <c r="J671">
        <v>1213</v>
      </c>
      <c r="K671">
        <v>2469</v>
      </c>
      <c r="L671">
        <v>1</v>
      </c>
      <c r="M671">
        <v>823</v>
      </c>
      <c r="N671">
        <v>1187</v>
      </c>
      <c r="O671">
        <v>1</v>
      </c>
      <c r="P671">
        <v>188</v>
      </c>
      <c r="Q671">
        <v>282</v>
      </c>
      <c r="R671">
        <v>1</v>
      </c>
      <c r="S671">
        <v>4000000</v>
      </c>
      <c r="T671" t="s">
        <v>1878</v>
      </c>
      <c r="U671" t="s">
        <v>1876</v>
      </c>
      <c r="V671" t="s">
        <v>898</v>
      </c>
      <c r="W671">
        <v>937.5</v>
      </c>
      <c r="X671" t="b">
        <v>1</v>
      </c>
    </row>
    <row r="672" spans="1:24" x14ac:dyDescent="0.25">
      <c r="A672">
        <v>671</v>
      </c>
      <c r="B672" t="s">
        <v>1879</v>
      </c>
      <c r="C672">
        <v>5</v>
      </c>
      <c r="D672">
        <v>40</v>
      </c>
      <c r="E672">
        <v>50</v>
      </c>
      <c r="F672">
        <v>2</v>
      </c>
      <c r="G672" t="s">
        <v>112</v>
      </c>
      <c r="H672">
        <v>4</v>
      </c>
      <c r="I672" t="s">
        <v>112</v>
      </c>
      <c r="J672">
        <v>704</v>
      </c>
      <c r="K672">
        <v>1549</v>
      </c>
      <c r="L672">
        <v>1</v>
      </c>
      <c r="M672">
        <v>462</v>
      </c>
      <c r="N672">
        <v>970</v>
      </c>
      <c r="O672">
        <v>1</v>
      </c>
      <c r="P672">
        <v>107</v>
      </c>
      <c r="Q672">
        <v>161</v>
      </c>
      <c r="R672">
        <v>1</v>
      </c>
      <c r="S672">
        <v>4000000</v>
      </c>
      <c r="T672" t="s">
        <v>1880</v>
      </c>
      <c r="U672" t="s">
        <v>1881</v>
      </c>
      <c r="W672">
        <v>1687.5</v>
      </c>
      <c r="X672" t="b">
        <v>1</v>
      </c>
    </row>
    <row r="673" spans="1:24" x14ac:dyDescent="0.25">
      <c r="A673">
        <v>672</v>
      </c>
      <c r="B673" t="s">
        <v>1882</v>
      </c>
      <c r="C673">
        <v>6</v>
      </c>
      <c r="D673">
        <v>50</v>
      </c>
      <c r="E673">
        <v>99</v>
      </c>
      <c r="F673">
        <v>2</v>
      </c>
      <c r="G673">
        <v>3</v>
      </c>
      <c r="H673">
        <v>4</v>
      </c>
      <c r="I673" t="s">
        <v>112</v>
      </c>
      <c r="J673">
        <v>1239</v>
      </c>
      <c r="K673">
        <v>2726</v>
      </c>
      <c r="L673">
        <v>1</v>
      </c>
      <c r="M673">
        <v>873</v>
      </c>
      <c r="N673">
        <v>1197</v>
      </c>
      <c r="O673">
        <v>1</v>
      </c>
      <c r="P673">
        <v>145</v>
      </c>
      <c r="Q673">
        <v>218</v>
      </c>
      <c r="R673">
        <v>1</v>
      </c>
      <c r="S673">
        <v>4000000</v>
      </c>
      <c r="T673" t="s">
        <v>1883</v>
      </c>
      <c r="U673" t="s">
        <v>1881</v>
      </c>
      <c r="V673" t="s">
        <v>356</v>
      </c>
      <c r="W673">
        <v>2100</v>
      </c>
      <c r="X673" t="b">
        <v>1</v>
      </c>
    </row>
    <row r="674" spans="1:24" x14ac:dyDescent="0.25">
      <c r="A674">
        <v>673</v>
      </c>
      <c r="B674" t="s">
        <v>1884</v>
      </c>
      <c r="C674">
        <v>3</v>
      </c>
      <c r="D674">
        <v>5</v>
      </c>
      <c r="E674">
        <v>25</v>
      </c>
      <c r="F674">
        <v>3</v>
      </c>
      <c r="G674" t="s">
        <v>112</v>
      </c>
      <c r="H674">
        <v>6</v>
      </c>
      <c r="I674" t="s">
        <v>112</v>
      </c>
      <c r="J674">
        <v>325</v>
      </c>
      <c r="K674">
        <v>715</v>
      </c>
      <c r="L674">
        <v>1</v>
      </c>
      <c r="M674">
        <v>511</v>
      </c>
      <c r="N674">
        <v>1073</v>
      </c>
      <c r="O674">
        <v>1</v>
      </c>
      <c r="P674">
        <v>35</v>
      </c>
      <c r="Q674">
        <v>53</v>
      </c>
      <c r="R674">
        <v>1</v>
      </c>
      <c r="S674">
        <v>1000000</v>
      </c>
      <c r="T674" t="s">
        <v>112</v>
      </c>
      <c r="U674" t="s">
        <v>112</v>
      </c>
      <c r="W674">
        <v>300</v>
      </c>
      <c r="X674" t="b">
        <v>1</v>
      </c>
    </row>
    <row r="675" spans="1:24" x14ac:dyDescent="0.25">
      <c r="A675">
        <v>674</v>
      </c>
      <c r="B675" t="s">
        <v>1885</v>
      </c>
      <c r="C675">
        <v>4</v>
      </c>
      <c r="D675">
        <v>10</v>
      </c>
      <c r="E675">
        <v>70</v>
      </c>
      <c r="F675">
        <v>3</v>
      </c>
      <c r="G675" t="s">
        <v>112</v>
      </c>
      <c r="H675">
        <v>6</v>
      </c>
      <c r="I675" t="s">
        <v>112</v>
      </c>
      <c r="J675">
        <v>572</v>
      </c>
      <c r="K675">
        <v>1058</v>
      </c>
      <c r="L675">
        <v>1</v>
      </c>
      <c r="M675">
        <v>966</v>
      </c>
      <c r="N675">
        <v>1346</v>
      </c>
      <c r="O675">
        <v>1</v>
      </c>
      <c r="P675">
        <v>48</v>
      </c>
      <c r="Q675">
        <v>72</v>
      </c>
      <c r="R675">
        <v>1</v>
      </c>
      <c r="S675">
        <v>1500000</v>
      </c>
      <c r="T675" t="s">
        <v>1886</v>
      </c>
      <c r="U675" t="s">
        <v>1172</v>
      </c>
      <c r="V675" t="s">
        <v>1236</v>
      </c>
      <c r="W675">
        <v>525</v>
      </c>
      <c r="X675" t="b">
        <v>1</v>
      </c>
    </row>
    <row r="676" spans="1:24" x14ac:dyDescent="0.25">
      <c r="A676">
        <v>675</v>
      </c>
      <c r="B676" t="s">
        <v>1887</v>
      </c>
      <c r="C676">
        <v>3</v>
      </c>
      <c r="D676">
        <v>5</v>
      </c>
      <c r="E676">
        <v>25</v>
      </c>
      <c r="F676">
        <v>4</v>
      </c>
      <c r="G676" t="s">
        <v>112</v>
      </c>
      <c r="H676">
        <v>2</v>
      </c>
      <c r="I676" t="s">
        <v>112</v>
      </c>
      <c r="J676">
        <v>805</v>
      </c>
      <c r="K676">
        <v>1771</v>
      </c>
      <c r="L676">
        <v>1</v>
      </c>
      <c r="M676">
        <v>215</v>
      </c>
      <c r="N676">
        <v>452</v>
      </c>
      <c r="O676">
        <v>1</v>
      </c>
      <c r="P676">
        <v>25</v>
      </c>
      <c r="Q676">
        <v>38</v>
      </c>
      <c r="R676">
        <v>1</v>
      </c>
      <c r="S676">
        <v>1000000</v>
      </c>
      <c r="T676" t="s">
        <v>112</v>
      </c>
      <c r="U676" t="s">
        <v>112</v>
      </c>
      <c r="W676">
        <v>300</v>
      </c>
      <c r="X676" t="b">
        <v>1</v>
      </c>
    </row>
    <row r="677" spans="1:24" x14ac:dyDescent="0.25">
      <c r="A677">
        <v>676</v>
      </c>
      <c r="B677" t="s">
        <v>1888</v>
      </c>
      <c r="C677">
        <v>4</v>
      </c>
      <c r="D677">
        <v>10</v>
      </c>
      <c r="E677">
        <v>70</v>
      </c>
      <c r="F677">
        <v>4</v>
      </c>
      <c r="G677" t="s">
        <v>112</v>
      </c>
      <c r="H677">
        <v>2</v>
      </c>
      <c r="I677" t="s">
        <v>112</v>
      </c>
      <c r="J677">
        <v>1417</v>
      </c>
      <c r="K677">
        <v>3117</v>
      </c>
      <c r="L677">
        <v>1</v>
      </c>
      <c r="M677">
        <v>407</v>
      </c>
      <c r="N677">
        <v>651</v>
      </c>
      <c r="O677">
        <v>1</v>
      </c>
      <c r="P677">
        <v>34</v>
      </c>
      <c r="Q677">
        <v>51</v>
      </c>
      <c r="R677">
        <v>1</v>
      </c>
      <c r="S677">
        <v>1500000</v>
      </c>
      <c r="T677" t="s">
        <v>1889</v>
      </c>
      <c r="U677" t="s">
        <v>577</v>
      </c>
      <c r="V677" t="s">
        <v>1237</v>
      </c>
      <c r="W677">
        <v>525</v>
      </c>
      <c r="X677" t="b">
        <v>1</v>
      </c>
    </row>
    <row r="678" spans="1:24" x14ac:dyDescent="0.25">
      <c r="A678">
        <v>677</v>
      </c>
      <c r="B678" t="s">
        <v>1890</v>
      </c>
      <c r="C678">
        <v>3</v>
      </c>
      <c r="D678">
        <v>5</v>
      </c>
      <c r="E678">
        <v>25</v>
      </c>
      <c r="F678">
        <v>2</v>
      </c>
      <c r="G678" t="s">
        <v>112</v>
      </c>
      <c r="H678">
        <v>3</v>
      </c>
      <c r="I678" t="s">
        <v>112</v>
      </c>
      <c r="J678">
        <v>285</v>
      </c>
      <c r="K678">
        <v>627</v>
      </c>
      <c r="L678">
        <v>1</v>
      </c>
      <c r="M678">
        <v>289</v>
      </c>
      <c r="N678">
        <v>607</v>
      </c>
      <c r="O678">
        <v>1</v>
      </c>
      <c r="P678">
        <v>257</v>
      </c>
      <c r="Q678">
        <v>386</v>
      </c>
      <c r="R678">
        <v>1</v>
      </c>
      <c r="S678">
        <v>1000000</v>
      </c>
      <c r="T678" t="s">
        <v>112</v>
      </c>
      <c r="U678" t="s">
        <v>112</v>
      </c>
      <c r="W678">
        <v>300</v>
      </c>
      <c r="X678" t="b">
        <v>1</v>
      </c>
    </row>
    <row r="679" spans="1:24" x14ac:dyDescent="0.25">
      <c r="A679">
        <v>678</v>
      </c>
      <c r="B679" t="s">
        <v>1891</v>
      </c>
      <c r="C679">
        <v>4</v>
      </c>
      <c r="D679">
        <v>10</v>
      </c>
      <c r="E679">
        <v>70</v>
      </c>
      <c r="F679">
        <v>2</v>
      </c>
      <c r="G679" t="s">
        <v>112</v>
      </c>
      <c r="H679">
        <v>3</v>
      </c>
      <c r="I679" t="s">
        <v>112</v>
      </c>
      <c r="J679">
        <v>502</v>
      </c>
      <c r="K679">
        <v>1104</v>
      </c>
      <c r="L679">
        <v>1</v>
      </c>
      <c r="M679">
        <v>546</v>
      </c>
      <c r="N679">
        <v>874</v>
      </c>
      <c r="O679">
        <v>1</v>
      </c>
      <c r="P679">
        <v>347</v>
      </c>
      <c r="Q679">
        <v>521</v>
      </c>
      <c r="R679">
        <v>1</v>
      </c>
      <c r="S679">
        <v>1500000</v>
      </c>
      <c r="T679" t="s">
        <v>1892</v>
      </c>
      <c r="U679" t="s">
        <v>1167</v>
      </c>
      <c r="V679" t="s">
        <v>1238</v>
      </c>
      <c r="W679">
        <v>525</v>
      </c>
      <c r="X679" t="b">
        <v>1</v>
      </c>
    </row>
    <row r="680" spans="1:24" x14ac:dyDescent="0.25">
      <c r="A680">
        <v>679</v>
      </c>
      <c r="B680" t="s">
        <v>1893</v>
      </c>
      <c r="C680">
        <v>4</v>
      </c>
      <c r="D680">
        <v>1</v>
      </c>
      <c r="E680">
        <v>1</v>
      </c>
      <c r="F680">
        <v>3</v>
      </c>
      <c r="G680" t="s">
        <v>112</v>
      </c>
      <c r="H680">
        <v>0</v>
      </c>
      <c r="I680" t="s">
        <v>112</v>
      </c>
      <c r="J680">
        <v>105</v>
      </c>
      <c r="K680">
        <v>105</v>
      </c>
      <c r="L680">
        <v>1</v>
      </c>
      <c r="M680">
        <v>105</v>
      </c>
      <c r="N680">
        <v>105</v>
      </c>
      <c r="O680">
        <v>1</v>
      </c>
      <c r="P680">
        <v>105</v>
      </c>
      <c r="Q680">
        <v>105</v>
      </c>
      <c r="R680">
        <v>1</v>
      </c>
      <c r="S680">
        <v>1500000</v>
      </c>
      <c r="T680" t="s">
        <v>112</v>
      </c>
      <c r="U680" t="s">
        <v>740</v>
      </c>
      <c r="W680">
        <v>10000</v>
      </c>
      <c r="X680" t="b">
        <v>1</v>
      </c>
    </row>
    <row r="681" spans="1:24" x14ac:dyDescent="0.25">
      <c r="A681">
        <v>680</v>
      </c>
      <c r="B681" t="s">
        <v>1894</v>
      </c>
      <c r="C681">
        <v>5</v>
      </c>
      <c r="D681">
        <v>1</v>
      </c>
      <c r="E681">
        <v>1</v>
      </c>
      <c r="F681">
        <v>4</v>
      </c>
      <c r="G681" t="s">
        <v>112</v>
      </c>
      <c r="H681">
        <v>0</v>
      </c>
      <c r="I681" t="s">
        <v>112</v>
      </c>
      <c r="J681">
        <v>10</v>
      </c>
      <c r="K681">
        <v>10</v>
      </c>
      <c r="L681">
        <v>1</v>
      </c>
      <c r="M681">
        <v>10</v>
      </c>
      <c r="N681">
        <v>10</v>
      </c>
      <c r="O681">
        <v>1</v>
      </c>
      <c r="P681">
        <v>10</v>
      </c>
      <c r="Q681">
        <v>10</v>
      </c>
      <c r="R681">
        <v>1</v>
      </c>
      <c r="S681">
        <v>1500000</v>
      </c>
      <c r="T681" t="s">
        <v>112</v>
      </c>
      <c r="U681" t="s">
        <v>2167</v>
      </c>
      <c r="W681">
        <v>15000</v>
      </c>
      <c r="X681" t="b">
        <v>1</v>
      </c>
    </row>
    <row r="682" spans="1:24" x14ac:dyDescent="0.25">
      <c r="A682">
        <v>681</v>
      </c>
      <c r="B682" t="s">
        <v>1239</v>
      </c>
      <c r="C682">
        <v>3</v>
      </c>
      <c r="D682">
        <v>1</v>
      </c>
      <c r="E682">
        <v>1</v>
      </c>
      <c r="F682">
        <v>3</v>
      </c>
      <c r="G682" t="s">
        <v>112</v>
      </c>
      <c r="H682">
        <v>14</v>
      </c>
      <c r="I682" t="s">
        <v>112</v>
      </c>
      <c r="J682">
        <v>3880</v>
      </c>
      <c r="K682">
        <v>3880</v>
      </c>
      <c r="L682">
        <v>1</v>
      </c>
      <c r="M682">
        <v>1</v>
      </c>
      <c r="N682">
        <v>1</v>
      </c>
      <c r="O682">
        <v>1</v>
      </c>
      <c r="P682">
        <v>1</v>
      </c>
      <c r="Q682">
        <v>1</v>
      </c>
      <c r="R682">
        <v>1</v>
      </c>
      <c r="S682">
        <v>1500000</v>
      </c>
      <c r="T682" t="s">
        <v>112</v>
      </c>
      <c r="U682" t="s">
        <v>112</v>
      </c>
      <c r="W682">
        <v>20000</v>
      </c>
      <c r="X682" t="b">
        <v>0</v>
      </c>
    </row>
    <row r="683" spans="1:24" x14ac:dyDescent="0.25">
      <c r="A683">
        <v>682</v>
      </c>
      <c r="B683" t="s">
        <v>1240</v>
      </c>
      <c r="C683">
        <v>6</v>
      </c>
      <c r="D683">
        <v>50</v>
      </c>
      <c r="E683">
        <v>50</v>
      </c>
      <c r="F683">
        <v>4</v>
      </c>
      <c r="G683" t="s">
        <v>112</v>
      </c>
      <c r="H683">
        <v>4</v>
      </c>
      <c r="I683" t="s">
        <v>112</v>
      </c>
      <c r="J683">
        <v>550</v>
      </c>
      <c r="K683">
        <v>1155</v>
      </c>
      <c r="L683">
        <v>1.5</v>
      </c>
      <c r="M683">
        <v>999</v>
      </c>
      <c r="N683">
        <v>1299</v>
      </c>
      <c r="O683">
        <v>1.5</v>
      </c>
      <c r="P683">
        <v>-250</v>
      </c>
      <c r="Q683">
        <v>-250</v>
      </c>
      <c r="R683">
        <v>1.5</v>
      </c>
      <c r="S683">
        <v>5000000</v>
      </c>
      <c r="T683" t="s">
        <v>1241</v>
      </c>
      <c r="U683" t="s">
        <v>1242</v>
      </c>
      <c r="W683">
        <v>2100</v>
      </c>
      <c r="X683" t="b">
        <v>0</v>
      </c>
    </row>
    <row r="684" spans="1:24" x14ac:dyDescent="0.25">
      <c r="A684">
        <v>683</v>
      </c>
      <c r="B684" t="s">
        <v>1243</v>
      </c>
      <c r="C684">
        <v>7</v>
      </c>
      <c r="D684">
        <v>100</v>
      </c>
      <c r="E684">
        <v>99</v>
      </c>
      <c r="F684">
        <v>4</v>
      </c>
      <c r="G684" t="s">
        <v>112</v>
      </c>
      <c r="H684">
        <v>4</v>
      </c>
      <c r="I684" t="s">
        <v>112</v>
      </c>
      <c r="J684">
        <v>924</v>
      </c>
      <c r="K684">
        <v>2033</v>
      </c>
      <c r="L684">
        <v>1.5</v>
      </c>
      <c r="M684">
        <v>1169</v>
      </c>
      <c r="N684">
        <v>1520</v>
      </c>
      <c r="O684">
        <v>1.5</v>
      </c>
      <c r="P684">
        <v>-250</v>
      </c>
      <c r="Q684">
        <v>-250</v>
      </c>
      <c r="R684">
        <v>1.5</v>
      </c>
      <c r="S684">
        <v>5000000</v>
      </c>
      <c r="T684" t="s">
        <v>1241</v>
      </c>
      <c r="U684" t="s">
        <v>1242</v>
      </c>
      <c r="V684" t="s">
        <v>1244</v>
      </c>
      <c r="W684">
        <v>4012.5</v>
      </c>
      <c r="X684" t="b">
        <v>0</v>
      </c>
    </row>
    <row r="685" spans="1:24" x14ac:dyDescent="0.25">
      <c r="A685">
        <v>684</v>
      </c>
      <c r="B685" t="s">
        <v>1245</v>
      </c>
      <c r="C685">
        <v>3</v>
      </c>
      <c r="D685">
        <v>7</v>
      </c>
      <c r="E685">
        <v>50</v>
      </c>
      <c r="F685">
        <v>0</v>
      </c>
      <c r="G685" t="s">
        <v>112</v>
      </c>
      <c r="H685">
        <v>6</v>
      </c>
      <c r="I685" t="s">
        <v>112</v>
      </c>
      <c r="J685">
        <v>384</v>
      </c>
      <c r="K685">
        <v>1037</v>
      </c>
      <c r="L685">
        <v>0.7</v>
      </c>
      <c r="M685">
        <v>291</v>
      </c>
      <c r="N685">
        <v>757</v>
      </c>
      <c r="O685">
        <v>0.7</v>
      </c>
      <c r="P685">
        <v>45</v>
      </c>
      <c r="Q685">
        <v>122</v>
      </c>
      <c r="R685">
        <v>0.7</v>
      </c>
      <c r="S685">
        <v>1500000</v>
      </c>
      <c r="T685" t="s">
        <v>112</v>
      </c>
      <c r="U685" t="s">
        <v>1246</v>
      </c>
      <c r="V685" t="s">
        <v>540</v>
      </c>
      <c r="W685">
        <v>375</v>
      </c>
      <c r="X685" t="b">
        <v>0</v>
      </c>
    </row>
    <row r="686" spans="1:24" x14ac:dyDescent="0.25">
      <c r="A686">
        <v>685</v>
      </c>
      <c r="B686" t="s">
        <v>1247</v>
      </c>
      <c r="C686">
        <v>3</v>
      </c>
      <c r="D686">
        <v>7</v>
      </c>
      <c r="E686">
        <v>50</v>
      </c>
      <c r="F686">
        <v>1</v>
      </c>
      <c r="G686" t="s">
        <v>112</v>
      </c>
      <c r="H686">
        <v>2</v>
      </c>
      <c r="I686" t="s">
        <v>112</v>
      </c>
      <c r="J686">
        <v>414</v>
      </c>
      <c r="K686">
        <v>1283</v>
      </c>
      <c r="L686">
        <v>0.7</v>
      </c>
      <c r="M686">
        <v>266</v>
      </c>
      <c r="N686">
        <v>612</v>
      </c>
      <c r="O686">
        <v>0.7</v>
      </c>
      <c r="P686">
        <v>50</v>
      </c>
      <c r="Q686">
        <v>135</v>
      </c>
      <c r="R686">
        <v>0.7</v>
      </c>
      <c r="S686">
        <v>1500000</v>
      </c>
      <c r="T686" t="s">
        <v>112</v>
      </c>
      <c r="U686" t="s">
        <v>1248</v>
      </c>
      <c r="V686" t="s">
        <v>220</v>
      </c>
      <c r="W686">
        <v>375</v>
      </c>
      <c r="X686" t="b">
        <v>0</v>
      </c>
    </row>
    <row r="687" spans="1:24" x14ac:dyDescent="0.25">
      <c r="A687">
        <v>686</v>
      </c>
      <c r="B687" t="s">
        <v>1249</v>
      </c>
      <c r="C687">
        <v>3</v>
      </c>
      <c r="D687">
        <v>7</v>
      </c>
      <c r="E687">
        <v>50</v>
      </c>
      <c r="F687">
        <v>2</v>
      </c>
      <c r="G687" t="s">
        <v>112</v>
      </c>
      <c r="H687">
        <v>1</v>
      </c>
      <c r="I687" t="s">
        <v>112</v>
      </c>
      <c r="J687">
        <v>402</v>
      </c>
      <c r="K687">
        <v>1085</v>
      </c>
      <c r="L687">
        <v>0.7</v>
      </c>
      <c r="M687">
        <v>280</v>
      </c>
      <c r="N687">
        <v>644</v>
      </c>
      <c r="O687">
        <v>0.7</v>
      </c>
      <c r="P687">
        <v>59</v>
      </c>
      <c r="Q687">
        <v>159</v>
      </c>
      <c r="R687">
        <v>0.7</v>
      </c>
      <c r="S687">
        <v>1500000</v>
      </c>
      <c r="T687" t="s">
        <v>112</v>
      </c>
      <c r="U687" t="s">
        <v>1250</v>
      </c>
      <c r="V687" t="s">
        <v>1013</v>
      </c>
      <c r="W687">
        <v>375</v>
      </c>
      <c r="X687" t="b">
        <v>0</v>
      </c>
    </row>
    <row r="688" spans="1:24" x14ac:dyDescent="0.25">
      <c r="A688">
        <v>687</v>
      </c>
      <c r="B688" t="s">
        <v>1251</v>
      </c>
      <c r="C688">
        <v>3</v>
      </c>
      <c r="D688">
        <v>7</v>
      </c>
      <c r="E688">
        <v>50</v>
      </c>
      <c r="F688">
        <v>3</v>
      </c>
      <c r="G688" t="s">
        <v>112</v>
      </c>
      <c r="H688">
        <v>3</v>
      </c>
      <c r="I688" t="s">
        <v>112</v>
      </c>
      <c r="J688">
        <v>390</v>
      </c>
      <c r="K688">
        <v>1053</v>
      </c>
      <c r="L688">
        <v>0.7</v>
      </c>
      <c r="M688">
        <v>274</v>
      </c>
      <c r="N688">
        <v>630</v>
      </c>
      <c r="O688">
        <v>0.7</v>
      </c>
      <c r="P688">
        <v>54</v>
      </c>
      <c r="Q688">
        <v>194</v>
      </c>
      <c r="R688">
        <v>0.7</v>
      </c>
      <c r="S688">
        <v>1500000</v>
      </c>
      <c r="T688" t="s">
        <v>112</v>
      </c>
      <c r="U688" t="s">
        <v>1253</v>
      </c>
      <c r="V688" t="s">
        <v>1252</v>
      </c>
      <c r="W688">
        <v>375</v>
      </c>
      <c r="X688" t="b">
        <v>0</v>
      </c>
    </row>
    <row r="689" spans="1:24" x14ac:dyDescent="0.25">
      <c r="A689">
        <v>688</v>
      </c>
      <c r="B689" t="s">
        <v>1254</v>
      </c>
      <c r="C689">
        <v>3</v>
      </c>
      <c r="D689">
        <v>7</v>
      </c>
      <c r="E689">
        <v>50</v>
      </c>
      <c r="F689">
        <v>4</v>
      </c>
      <c r="G689" t="s">
        <v>112</v>
      </c>
      <c r="H689">
        <v>7</v>
      </c>
      <c r="I689" t="s">
        <v>112</v>
      </c>
      <c r="J689">
        <v>402</v>
      </c>
      <c r="K689">
        <v>1166</v>
      </c>
      <c r="L689">
        <v>0.7</v>
      </c>
      <c r="M689">
        <v>287</v>
      </c>
      <c r="N689">
        <v>746</v>
      </c>
      <c r="O689">
        <v>0.7</v>
      </c>
      <c r="P689">
        <v>41</v>
      </c>
      <c r="Q689">
        <v>90</v>
      </c>
      <c r="R689">
        <v>0.7</v>
      </c>
      <c r="S689">
        <v>1500000</v>
      </c>
      <c r="T689" t="s">
        <v>112</v>
      </c>
      <c r="U689" t="s">
        <v>1255</v>
      </c>
      <c r="V689" t="s">
        <v>540</v>
      </c>
      <c r="W689">
        <v>375</v>
      </c>
      <c r="X689" t="b">
        <v>0</v>
      </c>
    </row>
    <row r="690" spans="1:24" x14ac:dyDescent="0.25">
      <c r="A690">
        <v>689</v>
      </c>
      <c r="B690" t="s">
        <v>1256</v>
      </c>
      <c r="C690">
        <v>3</v>
      </c>
      <c r="D690">
        <v>10</v>
      </c>
      <c r="E690">
        <v>70</v>
      </c>
      <c r="F690">
        <v>0</v>
      </c>
      <c r="G690" t="s">
        <v>112</v>
      </c>
      <c r="H690">
        <v>6</v>
      </c>
      <c r="I690" t="s">
        <v>112</v>
      </c>
      <c r="J690">
        <v>491</v>
      </c>
      <c r="K690">
        <v>1562</v>
      </c>
      <c r="L690">
        <v>1</v>
      </c>
      <c r="M690">
        <v>463</v>
      </c>
      <c r="N690">
        <v>1158</v>
      </c>
      <c r="O690">
        <v>1</v>
      </c>
      <c r="P690">
        <v>32</v>
      </c>
      <c r="Q690">
        <v>38</v>
      </c>
      <c r="R690">
        <v>1</v>
      </c>
      <c r="S690">
        <v>1500000</v>
      </c>
      <c r="T690" t="s">
        <v>726</v>
      </c>
      <c r="U690" t="s">
        <v>186</v>
      </c>
      <c r="V690" t="s">
        <v>1257</v>
      </c>
      <c r="W690">
        <v>487.5</v>
      </c>
      <c r="X690" t="b">
        <v>0</v>
      </c>
    </row>
    <row r="691" spans="1:24" x14ac:dyDescent="0.25">
      <c r="A691">
        <v>690</v>
      </c>
      <c r="B691" t="s">
        <v>1258</v>
      </c>
      <c r="C691">
        <v>3</v>
      </c>
      <c r="D691">
        <v>10</v>
      </c>
      <c r="E691">
        <v>70</v>
      </c>
      <c r="F691">
        <v>1</v>
      </c>
      <c r="G691" t="s">
        <v>112</v>
      </c>
      <c r="H691">
        <v>6</v>
      </c>
      <c r="I691" t="s">
        <v>112</v>
      </c>
      <c r="J691">
        <v>500</v>
      </c>
      <c r="K691">
        <v>1600</v>
      </c>
      <c r="L691">
        <v>1</v>
      </c>
      <c r="M691">
        <v>461</v>
      </c>
      <c r="N691">
        <v>1153</v>
      </c>
      <c r="O691">
        <v>1</v>
      </c>
      <c r="P691">
        <v>27</v>
      </c>
      <c r="Q691">
        <v>32</v>
      </c>
      <c r="R691">
        <v>1</v>
      </c>
      <c r="S691">
        <v>1500000</v>
      </c>
      <c r="T691" t="s">
        <v>1260</v>
      </c>
      <c r="U691" t="s">
        <v>189</v>
      </c>
      <c r="V691" t="s">
        <v>1259</v>
      </c>
      <c r="W691">
        <v>487.5</v>
      </c>
      <c r="X691" t="b">
        <v>0</v>
      </c>
    </row>
    <row r="692" spans="1:24" x14ac:dyDescent="0.25">
      <c r="A692">
        <v>691</v>
      </c>
      <c r="B692" t="s">
        <v>1261</v>
      </c>
      <c r="C692">
        <v>3</v>
      </c>
      <c r="D692">
        <v>10</v>
      </c>
      <c r="E692">
        <v>70</v>
      </c>
      <c r="F692">
        <v>2</v>
      </c>
      <c r="G692" t="s">
        <v>112</v>
      </c>
      <c r="H692">
        <v>6</v>
      </c>
      <c r="I692" t="s">
        <v>112</v>
      </c>
      <c r="J692">
        <v>496</v>
      </c>
      <c r="K692">
        <v>1683</v>
      </c>
      <c r="L692">
        <v>1</v>
      </c>
      <c r="M692">
        <v>468</v>
      </c>
      <c r="N692">
        <v>1170</v>
      </c>
      <c r="O692">
        <v>1</v>
      </c>
      <c r="P692">
        <v>23</v>
      </c>
      <c r="Q692">
        <v>28</v>
      </c>
      <c r="R692">
        <v>1</v>
      </c>
      <c r="S692">
        <v>1500000</v>
      </c>
      <c r="T692" t="s">
        <v>1263</v>
      </c>
      <c r="U692" t="s">
        <v>192</v>
      </c>
      <c r="V692" t="s">
        <v>1262</v>
      </c>
      <c r="W692">
        <v>487.5</v>
      </c>
      <c r="X692" t="b">
        <v>0</v>
      </c>
    </row>
    <row r="693" spans="1:24" x14ac:dyDescent="0.25">
      <c r="A693">
        <v>692</v>
      </c>
      <c r="B693" t="s">
        <v>2246</v>
      </c>
      <c r="C693">
        <v>7</v>
      </c>
      <c r="D693">
        <v>35</v>
      </c>
      <c r="E693">
        <v>99</v>
      </c>
      <c r="F693">
        <v>1</v>
      </c>
      <c r="G693">
        <v>0</v>
      </c>
      <c r="H693">
        <v>2</v>
      </c>
      <c r="I693" t="s">
        <v>112</v>
      </c>
      <c r="J693">
        <v>2111</v>
      </c>
      <c r="K693">
        <v>4119</v>
      </c>
      <c r="L693">
        <v>1</v>
      </c>
      <c r="M693">
        <v>1156</v>
      </c>
      <c r="N693">
        <v>1309</v>
      </c>
      <c r="O693">
        <v>1</v>
      </c>
      <c r="P693">
        <v>81</v>
      </c>
      <c r="Q693">
        <v>129</v>
      </c>
      <c r="R693">
        <v>1</v>
      </c>
      <c r="S693">
        <v>4000000</v>
      </c>
      <c r="T693" t="s">
        <v>1264</v>
      </c>
      <c r="U693" t="s">
        <v>396</v>
      </c>
      <c r="V693" t="s">
        <v>964</v>
      </c>
      <c r="W693">
        <v>1575</v>
      </c>
      <c r="X693" t="b">
        <v>0</v>
      </c>
    </row>
    <row r="694" spans="1:24" x14ac:dyDescent="0.25">
      <c r="A694">
        <v>693</v>
      </c>
      <c r="B694" t="s">
        <v>1265</v>
      </c>
      <c r="C694">
        <v>7</v>
      </c>
      <c r="D694">
        <v>35</v>
      </c>
      <c r="E694">
        <v>99</v>
      </c>
      <c r="F694">
        <v>2</v>
      </c>
      <c r="G694">
        <v>4</v>
      </c>
      <c r="H694">
        <v>1</v>
      </c>
      <c r="I694" t="s">
        <v>112</v>
      </c>
      <c r="J694">
        <v>1613</v>
      </c>
      <c r="K694">
        <v>2987</v>
      </c>
      <c r="L694">
        <v>1</v>
      </c>
      <c r="M694">
        <v>1204</v>
      </c>
      <c r="N694">
        <v>1386</v>
      </c>
      <c r="O694">
        <v>1</v>
      </c>
      <c r="P694">
        <v>255</v>
      </c>
      <c r="Q694">
        <v>378</v>
      </c>
      <c r="R694">
        <v>1</v>
      </c>
      <c r="S694">
        <v>4000000</v>
      </c>
      <c r="T694" t="s">
        <v>1266</v>
      </c>
      <c r="U694" t="s">
        <v>398</v>
      </c>
      <c r="V694" t="s">
        <v>966</v>
      </c>
      <c r="W694">
        <v>1575</v>
      </c>
      <c r="X694" t="b">
        <v>0</v>
      </c>
    </row>
    <row r="695" spans="1:24" x14ac:dyDescent="0.25">
      <c r="A695">
        <v>694</v>
      </c>
      <c r="B695" t="s">
        <v>1267</v>
      </c>
      <c r="C695">
        <v>7</v>
      </c>
      <c r="D695">
        <v>35</v>
      </c>
      <c r="E695">
        <v>99</v>
      </c>
      <c r="F695">
        <v>3</v>
      </c>
      <c r="G695">
        <v>2</v>
      </c>
      <c r="H695">
        <v>3</v>
      </c>
      <c r="I695" t="s">
        <v>112</v>
      </c>
      <c r="J695">
        <v>1593</v>
      </c>
      <c r="K695">
        <v>2308</v>
      </c>
      <c r="L695">
        <v>1</v>
      </c>
      <c r="M695">
        <v>996</v>
      </c>
      <c r="N695">
        <v>1189</v>
      </c>
      <c r="O695">
        <v>1</v>
      </c>
      <c r="P695">
        <v>438</v>
      </c>
      <c r="Q695">
        <v>656</v>
      </c>
      <c r="R695">
        <v>1</v>
      </c>
      <c r="S695">
        <v>4000000</v>
      </c>
      <c r="T695" t="s">
        <v>1268</v>
      </c>
      <c r="U695" t="s">
        <v>400</v>
      </c>
      <c r="V695" t="s">
        <v>968</v>
      </c>
      <c r="W695">
        <v>1575</v>
      </c>
      <c r="X695" t="b">
        <v>0</v>
      </c>
    </row>
    <row r="696" spans="1:24" x14ac:dyDescent="0.25">
      <c r="A696">
        <v>695</v>
      </c>
      <c r="B696" t="s">
        <v>2247</v>
      </c>
      <c r="C696">
        <v>4</v>
      </c>
      <c r="D696">
        <v>10</v>
      </c>
      <c r="E696">
        <v>50</v>
      </c>
      <c r="F696">
        <v>0</v>
      </c>
      <c r="G696" t="s">
        <v>112</v>
      </c>
      <c r="H696">
        <v>6</v>
      </c>
      <c r="I696" t="s">
        <v>112</v>
      </c>
      <c r="J696">
        <v>145</v>
      </c>
      <c r="K696">
        <v>653</v>
      </c>
      <c r="L696">
        <v>1</v>
      </c>
      <c r="M696">
        <v>169</v>
      </c>
      <c r="N696">
        <v>761</v>
      </c>
      <c r="O696">
        <v>1</v>
      </c>
      <c r="P696">
        <v>101</v>
      </c>
      <c r="Q696">
        <v>212</v>
      </c>
      <c r="R696">
        <v>1</v>
      </c>
      <c r="S696">
        <v>1500000</v>
      </c>
      <c r="T696" t="s">
        <v>1269</v>
      </c>
      <c r="U696" t="s">
        <v>1270</v>
      </c>
      <c r="W696">
        <v>525</v>
      </c>
      <c r="X696" t="b">
        <v>0</v>
      </c>
    </row>
    <row r="697" spans="1:24" x14ac:dyDescent="0.25">
      <c r="A697">
        <v>696</v>
      </c>
      <c r="B697" t="s">
        <v>2248</v>
      </c>
      <c r="C697">
        <v>5</v>
      </c>
      <c r="D697">
        <v>15</v>
      </c>
      <c r="E697">
        <v>99</v>
      </c>
      <c r="F697">
        <v>0</v>
      </c>
      <c r="G697" t="s">
        <v>112</v>
      </c>
      <c r="H697">
        <v>6</v>
      </c>
      <c r="I697" t="s">
        <v>112</v>
      </c>
      <c r="J697">
        <v>522</v>
      </c>
      <c r="K697">
        <v>1305</v>
      </c>
      <c r="L697">
        <v>1</v>
      </c>
      <c r="M697">
        <v>685</v>
      </c>
      <c r="N697">
        <v>1713</v>
      </c>
      <c r="O697">
        <v>1</v>
      </c>
      <c r="P697">
        <v>191</v>
      </c>
      <c r="Q697">
        <v>401</v>
      </c>
      <c r="R697">
        <v>1</v>
      </c>
      <c r="S697">
        <v>3000000</v>
      </c>
      <c r="T697" t="s">
        <v>1269</v>
      </c>
      <c r="U697" t="s">
        <v>1270</v>
      </c>
      <c r="V697" t="s">
        <v>2249</v>
      </c>
      <c r="W697">
        <v>750</v>
      </c>
      <c r="X697" t="b">
        <v>0</v>
      </c>
    </row>
    <row r="698" spans="1:24" x14ac:dyDescent="0.25">
      <c r="A698">
        <v>697</v>
      </c>
      <c r="B698" t="s">
        <v>2250</v>
      </c>
      <c r="C698">
        <v>4</v>
      </c>
      <c r="D698">
        <v>10</v>
      </c>
      <c r="E698">
        <v>50</v>
      </c>
      <c r="F698">
        <v>1</v>
      </c>
      <c r="G698" t="s">
        <v>112</v>
      </c>
      <c r="H698">
        <v>6</v>
      </c>
      <c r="I698" t="s">
        <v>112</v>
      </c>
      <c r="J698">
        <v>222</v>
      </c>
      <c r="K698">
        <v>999</v>
      </c>
      <c r="L698">
        <v>1</v>
      </c>
      <c r="M698">
        <v>165</v>
      </c>
      <c r="N698">
        <v>743</v>
      </c>
      <c r="O698">
        <v>1</v>
      </c>
      <c r="P698">
        <v>55</v>
      </c>
      <c r="Q698">
        <v>116</v>
      </c>
      <c r="R698">
        <v>1</v>
      </c>
      <c r="S698">
        <v>1500000</v>
      </c>
      <c r="T698" t="s">
        <v>1271</v>
      </c>
      <c r="U698" t="s">
        <v>1272</v>
      </c>
      <c r="W698">
        <v>525</v>
      </c>
      <c r="X698" t="b">
        <v>0</v>
      </c>
    </row>
    <row r="699" spans="1:24" x14ac:dyDescent="0.25">
      <c r="A699">
        <v>698</v>
      </c>
      <c r="B699" t="s">
        <v>2251</v>
      </c>
      <c r="C699">
        <v>5</v>
      </c>
      <c r="D699">
        <v>15</v>
      </c>
      <c r="E699">
        <v>99</v>
      </c>
      <c r="F699">
        <v>1</v>
      </c>
      <c r="G699" t="s">
        <v>112</v>
      </c>
      <c r="H699">
        <v>6</v>
      </c>
      <c r="I699" t="s">
        <v>112</v>
      </c>
      <c r="J699">
        <v>799</v>
      </c>
      <c r="K699">
        <v>1998</v>
      </c>
      <c r="L699">
        <v>1</v>
      </c>
      <c r="M699">
        <v>669</v>
      </c>
      <c r="N699">
        <v>1673</v>
      </c>
      <c r="O699">
        <v>1</v>
      </c>
      <c r="P699">
        <v>104</v>
      </c>
      <c r="Q699">
        <v>218</v>
      </c>
      <c r="R699">
        <v>1</v>
      </c>
      <c r="S699">
        <v>3000000</v>
      </c>
      <c r="T699" t="s">
        <v>1271</v>
      </c>
      <c r="U699" t="s">
        <v>1272</v>
      </c>
      <c r="V699" t="s">
        <v>2252</v>
      </c>
      <c r="W699">
        <v>750</v>
      </c>
      <c r="X699" t="b">
        <v>0</v>
      </c>
    </row>
    <row r="700" spans="1:24" x14ac:dyDescent="0.25">
      <c r="A700">
        <v>699</v>
      </c>
      <c r="B700" t="s">
        <v>2253</v>
      </c>
      <c r="C700">
        <v>4</v>
      </c>
      <c r="D700">
        <v>10</v>
      </c>
      <c r="E700">
        <v>50</v>
      </c>
      <c r="F700">
        <v>2</v>
      </c>
      <c r="G700" t="s">
        <v>112</v>
      </c>
      <c r="H700">
        <v>6</v>
      </c>
      <c r="I700" t="s">
        <v>112</v>
      </c>
      <c r="J700">
        <v>237</v>
      </c>
      <c r="K700">
        <v>1067</v>
      </c>
      <c r="L700">
        <v>1</v>
      </c>
      <c r="M700">
        <v>168</v>
      </c>
      <c r="N700">
        <v>756</v>
      </c>
      <c r="O700">
        <v>1</v>
      </c>
      <c r="P700">
        <v>41</v>
      </c>
      <c r="Q700">
        <v>86</v>
      </c>
      <c r="R700">
        <v>1</v>
      </c>
      <c r="S700">
        <v>1500000</v>
      </c>
      <c r="T700" t="s">
        <v>1273</v>
      </c>
      <c r="U700" t="s">
        <v>2254</v>
      </c>
      <c r="W700">
        <v>525</v>
      </c>
      <c r="X700" t="b">
        <v>0</v>
      </c>
    </row>
    <row r="701" spans="1:24" x14ac:dyDescent="0.25">
      <c r="A701">
        <v>700</v>
      </c>
      <c r="B701" t="s">
        <v>2255</v>
      </c>
      <c r="C701">
        <v>5</v>
      </c>
      <c r="D701">
        <v>15</v>
      </c>
      <c r="E701">
        <v>99</v>
      </c>
      <c r="F701">
        <v>2</v>
      </c>
      <c r="G701" t="s">
        <v>112</v>
      </c>
      <c r="H701">
        <v>6</v>
      </c>
      <c r="I701" t="s">
        <v>112</v>
      </c>
      <c r="J701">
        <v>854</v>
      </c>
      <c r="K701">
        <v>2135</v>
      </c>
      <c r="L701">
        <v>1</v>
      </c>
      <c r="M701">
        <v>680</v>
      </c>
      <c r="N701">
        <v>1700</v>
      </c>
      <c r="O701">
        <v>1</v>
      </c>
      <c r="P701">
        <v>77</v>
      </c>
      <c r="Q701">
        <v>162</v>
      </c>
      <c r="R701">
        <v>1</v>
      </c>
      <c r="S701">
        <v>3000000</v>
      </c>
      <c r="T701" t="s">
        <v>1274</v>
      </c>
      <c r="U701" t="s">
        <v>2254</v>
      </c>
      <c r="V701" t="s">
        <v>2256</v>
      </c>
      <c r="W701">
        <v>750</v>
      </c>
      <c r="X701" t="b">
        <v>0</v>
      </c>
    </row>
    <row r="702" spans="1:24" x14ac:dyDescent="0.25">
      <c r="A702">
        <v>701</v>
      </c>
      <c r="B702" t="s">
        <v>2257</v>
      </c>
      <c r="C702">
        <v>4</v>
      </c>
      <c r="D702">
        <v>10</v>
      </c>
      <c r="E702">
        <v>50</v>
      </c>
      <c r="F702">
        <v>3</v>
      </c>
      <c r="G702" t="s">
        <v>112</v>
      </c>
      <c r="H702">
        <v>6</v>
      </c>
      <c r="I702" t="s">
        <v>112</v>
      </c>
      <c r="J702">
        <v>204</v>
      </c>
      <c r="K702">
        <v>918</v>
      </c>
      <c r="L702">
        <v>1</v>
      </c>
      <c r="M702">
        <v>152</v>
      </c>
      <c r="N702">
        <v>684</v>
      </c>
      <c r="O702">
        <v>1</v>
      </c>
      <c r="P702">
        <v>87</v>
      </c>
      <c r="Q702">
        <v>183</v>
      </c>
      <c r="R702">
        <v>1</v>
      </c>
      <c r="S702">
        <v>1500000</v>
      </c>
      <c r="T702" t="s">
        <v>1275</v>
      </c>
      <c r="U702" t="s">
        <v>1276</v>
      </c>
      <c r="W702">
        <v>525</v>
      </c>
      <c r="X702" t="b">
        <v>0</v>
      </c>
    </row>
    <row r="703" spans="1:24" x14ac:dyDescent="0.25">
      <c r="A703">
        <v>702</v>
      </c>
      <c r="B703" t="s">
        <v>2258</v>
      </c>
      <c r="C703">
        <v>5</v>
      </c>
      <c r="D703">
        <v>15</v>
      </c>
      <c r="E703">
        <v>99</v>
      </c>
      <c r="F703">
        <v>3</v>
      </c>
      <c r="G703" t="s">
        <v>112</v>
      </c>
      <c r="H703">
        <v>6</v>
      </c>
      <c r="I703" t="s">
        <v>112</v>
      </c>
      <c r="J703">
        <v>734</v>
      </c>
      <c r="K703">
        <v>1835</v>
      </c>
      <c r="L703">
        <v>1</v>
      </c>
      <c r="M703">
        <v>616</v>
      </c>
      <c r="N703">
        <v>1540</v>
      </c>
      <c r="O703">
        <v>1</v>
      </c>
      <c r="P703">
        <v>165</v>
      </c>
      <c r="Q703">
        <v>347</v>
      </c>
      <c r="R703">
        <v>1</v>
      </c>
      <c r="S703">
        <v>3000000</v>
      </c>
      <c r="T703" t="s">
        <v>1275</v>
      </c>
      <c r="U703" t="s">
        <v>1276</v>
      </c>
      <c r="V703" t="s">
        <v>2259</v>
      </c>
      <c r="W703">
        <v>750</v>
      </c>
      <c r="X703" t="b">
        <v>0</v>
      </c>
    </row>
    <row r="704" spans="1:24" x14ac:dyDescent="0.25">
      <c r="A704">
        <v>703</v>
      </c>
      <c r="B704" t="s">
        <v>2260</v>
      </c>
      <c r="C704">
        <v>4</v>
      </c>
      <c r="D704">
        <v>10</v>
      </c>
      <c r="E704">
        <v>50</v>
      </c>
      <c r="F704">
        <v>4</v>
      </c>
      <c r="G704" t="s">
        <v>112</v>
      </c>
      <c r="H704">
        <v>6</v>
      </c>
      <c r="I704" t="s">
        <v>112</v>
      </c>
      <c r="J704">
        <v>210</v>
      </c>
      <c r="K704">
        <v>945</v>
      </c>
      <c r="L704">
        <v>1</v>
      </c>
      <c r="M704">
        <v>163</v>
      </c>
      <c r="N704">
        <v>734</v>
      </c>
      <c r="O704">
        <v>1</v>
      </c>
      <c r="P704">
        <v>66</v>
      </c>
      <c r="Q704">
        <v>139</v>
      </c>
      <c r="R704">
        <v>1</v>
      </c>
      <c r="S704">
        <v>1500000</v>
      </c>
      <c r="T704" t="s">
        <v>1277</v>
      </c>
      <c r="U704" t="s">
        <v>1278</v>
      </c>
      <c r="W704">
        <v>525</v>
      </c>
      <c r="X704" t="b">
        <v>0</v>
      </c>
    </row>
    <row r="705" spans="1:24" x14ac:dyDescent="0.25">
      <c r="A705">
        <v>704</v>
      </c>
      <c r="B705" t="s">
        <v>2261</v>
      </c>
      <c r="C705">
        <v>5</v>
      </c>
      <c r="D705">
        <v>15</v>
      </c>
      <c r="E705">
        <v>99</v>
      </c>
      <c r="F705">
        <v>4</v>
      </c>
      <c r="G705" t="s">
        <v>112</v>
      </c>
      <c r="H705">
        <v>6</v>
      </c>
      <c r="I705" t="s">
        <v>112</v>
      </c>
      <c r="J705">
        <v>756</v>
      </c>
      <c r="K705">
        <v>1890</v>
      </c>
      <c r="L705">
        <v>1</v>
      </c>
      <c r="M705">
        <v>661</v>
      </c>
      <c r="N705">
        <v>1653</v>
      </c>
      <c r="O705">
        <v>1</v>
      </c>
      <c r="P705">
        <v>125</v>
      </c>
      <c r="Q705">
        <v>263</v>
      </c>
      <c r="R705">
        <v>1</v>
      </c>
      <c r="S705">
        <v>3000000</v>
      </c>
      <c r="T705" t="s">
        <v>1277</v>
      </c>
      <c r="U705" t="s">
        <v>1278</v>
      </c>
      <c r="V705" t="s">
        <v>2262</v>
      </c>
      <c r="W705">
        <v>750</v>
      </c>
      <c r="X705" t="b">
        <v>0</v>
      </c>
    </row>
    <row r="706" spans="1:24" x14ac:dyDescent="0.25">
      <c r="A706">
        <v>705</v>
      </c>
      <c r="B706" t="s">
        <v>2263</v>
      </c>
      <c r="C706">
        <v>5</v>
      </c>
      <c r="D706">
        <v>25</v>
      </c>
      <c r="E706">
        <v>50</v>
      </c>
      <c r="F706">
        <v>1</v>
      </c>
      <c r="G706">
        <v>4</v>
      </c>
      <c r="H706">
        <v>6</v>
      </c>
      <c r="I706" t="s">
        <v>112</v>
      </c>
      <c r="J706">
        <v>241</v>
      </c>
      <c r="K706">
        <v>1085</v>
      </c>
      <c r="L706">
        <v>1</v>
      </c>
      <c r="M706">
        <v>189</v>
      </c>
      <c r="N706">
        <v>851</v>
      </c>
      <c r="O706">
        <v>1</v>
      </c>
      <c r="P706">
        <v>61</v>
      </c>
      <c r="Q706">
        <v>116</v>
      </c>
      <c r="R706">
        <v>1</v>
      </c>
      <c r="S706">
        <v>4000000</v>
      </c>
      <c r="T706" t="s">
        <v>1279</v>
      </c>
      <c r="U706" t="s">
        <v>2264</v>
      </c>
      <c r="W706">
        <v>1125</v>
      </c>
      <c r="X706" t="b">
        <v>0</v>
      </c>
    </row>
    <row r="707" spans="1:24" x14ac:dyDescent="0.25">
      <c r="A707">
        <v>706</v>
      </c>
      <c r="B707" t="s">
        <v>2265</v>
      </c>
      <c r="C707">
        <v>6</v>
      </c>
      <c r="D707">
        <v>30</v>
      </c>
      <c r="E707">
        <v>99</v>
      </c>
      <c r="F707">
        <v>1</v>
      </c>
      <c r="G707">
        <v>4</v>
      </c>
      <c r="H707">
        <v>6</v>
      </c>
      <c r="I707" t="s">
        <v>112</v>
      </c>
      <c r="J707">
        <v>868</v>
      </c>
      <c r="K707">
        <v>2170</v>
      </c>
      <c r="L707">
        <v>1</v>
      </c>
      <c r="M707">
        <v>766</v>
      </c>
      <c r="N707">
        <v>1915</v>
      </c>
      <c r="O707">
        <v>1</v>
      </c>
      <c r="P707">
        <v>104</v>
      </c>
      <c r="Q707">
        <v>198</v>
      </c>
      <c r="R707">
        <v>1</v>
      </c>
      <c r="S707">
        <v>4000000</v>
      </c>
      <c r="T707" t="s">
        <v>1279</v>
      </c>
      <c r="U707" t="s">
        <v>2264</v>
      </c>
      <c r="V707" t="s">
        <v>2266</v>
      </c>
      <c r="W707">
        <v>1350</v>
      </c>
      <c r="X707" t="b">
        <v>0</v>
      </c>
    </row>
    <row r="708" spans="1:24" x14ac:dyDescent="0.25">
      <c r="A708">
        <v>707</v>
      </c>
      <c r="B708" t="s">
        <v>2267</v>
      </c>
      <c r="C708">
        <v>3</v>
      </c>
      <c r="D708">
        <v>10</v>
      </c>
      <c r="E708">
        <v>25</v>
      </c>
      <c r="F708">
        <v>0</v>
      </c>
      <c r="G708" t="s">
        <v>112</v>
      </c>
      <c r="H708">
        <v>5</v>
      </c>
      <c r="I708">
        <v>6</v>
      </c>
      <c r="J708">
        <v>198</v>
      </c>
      <c r="K708">
        <v>891</v>
      </c>
      <c r="L708">
        <v>1</v>
      </c>
      <c r="M708">
        <v>84</v>
      </c>
      <c r="N708">
        <v>378</v>
      </c>
      <c r="O708">
        <v>1</v>
      </c>
      <c r="P708">
        <v>55</v>
      </c>
      <c r="Q708">
        <v>116</v>
      </c>
      <c r="R708">
        <v>1</v>
      </c>
      <c r="S708">
        <v>1500000</v>
      </c>
      <c r="T708" t="s">
        <v>1280</v>
      </c>
      <c r="U708" t="s">
        <v>112</v>
      </c>
      <c r="W708">
        <v>487.5</v>
      </c>
      <c r="X708" t="b">
        <v>0</v>
      </c>
    </row>
    <row r="709" spans="1:24" x14ac:dyDescent="0.25">
      <c r="A709">
        <v>708</v>
      </c>
      <c r="B709" t="s">
        <v>2268</v>
      </c>
      <c r="C709">
        <v>4</v>
      </c>
      <c r="D709">
        <v>15</v>
      </c>
      <c r="E709">
        <v>70</v>
      </c>
      <c r="F709">
        <v>0</v>
      </c>
      <c r="G709" t="s">
        <v>112</v>
      </c>
      <c r="H709">
        <v>5</v>
      </c>
      <c r="I709">
        <v>6</v>
      </c>
      <c r="J709">
        <v>713</v>
      </c>
      <c r="K709">
        <v>1783</v>
      </c>
      <c r="L709">
        <v>1</v>
      </c>
      <c r="M709">
        <v>340</v>
      </c>
      <c r="N709">
        <v>850</v>
      </c>
      <c r="O709">
        <v>1</v>
      </c>
      <c r="P709">
        <v>104</v>
      </c>
      <c r="Q709">
        <v>218</v>
      </c>
      <c r="R709">
        <v>1</v>
      </c>
      <c r="S709">
        <v>3000000</v>
      </c>
      <c r="T709" t="s">
        <v>1280</v>
      </c>
      <c r="U709" t="s">
        <v>931</v>
      </c>
      <c r="V709" t="s">
        <v>1127</v>
      </c>
      <c r="W709">
        <v>712.5</v>
      </c>
      <c r="X709" t="b">
        <v>0</v>
      </c>
    </row>
    <row r="710" spans="1:24" x14ac:dyDescent="0.25">
      <c r="A710">
        <v>709</v>
      </c>
      <c r="B710" t="s">
        <v>2269</v>
      </c>
      <c r="C710">
        <v>3</v>
      </c>
      <c r="D710">
        <v>10</v>
      </c>
      <c r="E710">
        <v>25</v>
      </c>
      <c r="F710">
        <v>3</v>
      </c>
      <c r="G710" t="s">
        <v>112</v>
      </c>
      <c r="H710">
        <v>5</v>
      </c>
      <c r="I710">
        <v>6</v>
      </c>
      <c r="J710">
        <v>141</v>
      </c>
      <c r="K710">
        <v>635</v>
      </c>
      <c r="L710">
        <v>1</v>
      </c>
      <c r="M710">
        <v>110</v>
      </c>
      <c r="N710">
        <v>495</v>
      </c>
      <c r="O710">
        <v>1</v>
      </c>
      <c r="P710">
        <v>54</v>
      </c>
      <c r="Q710">
        <v>113</v>
      </c>
      <c r="R710">
        <v>1</v>
      </c>
      <c r="S710">
        <v>1500000</v>
      </c>
      <c r="T710" t="s">
        <v>1280</v>
      </c>
      <c r="U710" t="s">
        <v>112</v>
      </c>
      <c r="W710">
        <v>487.5</v>
      </c>
      <c r="X710" t="b">
        <v>0</v>
      </c>
    </row>
    <row r="711" spans="1:24" x14ac:dyDescent="0.25">
      <c r="A711">
        <v>710</v>
      </c>
      <c r="B711" t="s">
        <v>2270</v>
      </c>
      <c r="C711">
        <v>4</v>
      </c>
      <c r="D711">
        <v>15</v>
      </c>
      <c r="E711">
        <v>70</v>
      </c>
      <c r="F711">
        <v>3</v>
      </c>
      <c r="G711" t="s">
        <v>112</v>
      </c>
      <c r="H711">
        <v>5</v>
      </c>
      <c r="I711">
        <v>6</v>
      </c>
      <c r="J711">
        <v>508</v>
      </c>
      <c r="K711">
        <v>1270</v>
      </c>
      <c r="L711">
        <v>1</v>
      </c>
      <c r="M711">
        <v>446</v>
      </c>
      <c r="N711">
        <v>1115</v>
      </c>
      <c r="O711">
        <v>1</v>
      </c>
      <c r="P711">
        <v>102</v>
      </c>
      <c r="Q711">
        <v>214</v>
      </c>
      <c r="R711">
        <v>1</v>
      </c>
      <c r="S711">
        <v>3000000</v>
      </c>
      <c r="T711" t="s">
        <v>1280</v>
      </c>
      <c r="U711" t="s">
        <v>1175</v>
      </c>
      <c r="V711" t="s">
        <v>1130</v>
      </c>
      <c r="W711">
        <v>712.5</v>
      </c>
      <c r="X711" t="b">
        <v>0</v>
      </c>
    </row>
    <row r="712" spans="1:24" x14ac:dyDescent="0.25">
      <c r="A712">
        <v>711</v>
      </c>
      <c r="B712" t="s">
        <v>2271</v>
      </c>
      <c r="C712">
        <v>5</v>
      </c>
      <c r="D712">
        <v>20</v>
      </c>
      <c r="E712">
        <v>50</v>
      </c>
      <c r="F712">
        <v>4</v>
      </c>
      <c r="G712" t="s">
        <v>112</v>
      </c>
      <c r="H712">
        <v>5</v>
      </c>
      <c r="I712">
        <v>6</v>
      </c>
      <c r="J712">
        <v>330</v>
      </c>
      <c r="K712">
        <v>1485</v>
      </c>
      <c r="L712">
        <v>1</v>
      </c>
      <c r="M712">
        <v>111</v>
      </c>
      <c r="N712">
        <v>500</v>
      </c>
      <c r="O712">
        <v>1</v>
      </c>
      <c r="P712">
        <v>47</v>
      </c>
      <c r="Q712">
        <v>99</v>
      </c>
      <c r="R712">
        <v>1</v>
      </c>
      <c r="S712">
        <v>1500000</v>
      </c>
      <c r="T712" t="s">
        <v>1281</v>
      </c>
      <c r="U712" t="s">
        <v>1282</v>
      </c>
      <c r="W712">
        <v>937.5</v>
      </c>
      <c r="X712" t="b">
        <v>0</v>
      </c>
    </row>
    <row r="713" spans="1:24" x14ac:dyDescent="0.25">
      <c r="A713">
        <v>712</v>
      </c>
      <c r="B713" t="s">
        <v>2272</v>
      </c>
      <c r="C713">
        <v>6</v>
      </c>
      <c r="D713">
        <v>25</v>
      </c>
      <c r="E713">
        <v>99</v>
      </c>
      <c r="F713">
        <v>4</v>
      </c>
      <c r="G713" t="s">
        <v>112</v>
      </c>
      <c r="H713">
        <v>5</v>
      </c>
      <c r="I713">
        <v>6</v>
      </c>
      <c r="J713">
        <v>1188</v>
      </c>
      <c r="K713">
        <v>2970</v>
      </c>
      <c r="L713">
        <v>1</v>
      </c>
      <c r="M713">
        <v>450</v>
      </c>
      <c r="N713">
        <v>1125</v>
      </c>
      <c r="O713">
        <v>1</v>
      </c>
      <c r="P713">
        <v>89</v>
      </c>
      <c r="Q713">
        <v>187</v>
      </c>
      <c r="R713">
        <v>1</v>
      </c>
      <c r="S713">
        <v>3000000</v>
      </c>
      <c r="T713" t="s">
        <v>1281</v>
      </c>
      <c r="U713" t="s">
        <v>1282</v>
      </c>
      <c r="V713" t="s">
        <v>907</v>
      </c>
      <c r="W713">
        <v>1162.5</v>
      </c>
      <c r="X713" t="b">
        <v>0</v>
      </c>
    </row>
    <row r="714" spans="1:24" x14ac:dyDescent="0.25">
      <c r="A714">
        <v>713</v>
      </c>
      <c r="B714" t="s">
        <v>2273</v>
      </c>
      <c r="C714">
        <v>3</v>
      </c>
      <c r="D714">
        <v>10</v>
      </c>
      <c r="E714">
        <v>25</v>
      </c>
      <c r="F714">
        <v>4</v>
      </c>
      <c r="G714" t="s">
        <v>112</v>
      </c>
      <c r="H714">
        <v>5</v>
      </c>
      <c r="I714">
        <v>6</v>
      </c>
      <c r="J714">
        <v>243</v>
      </c>
      <c r="K714">
        <v>1094</v>
      </c>
      <c r="L714">
        <v>1</v>
      </c>
      <c r="M714">
        <v>36</v>
      </c>
      <c r="N714">
        <v>162</v>
      </c>
      <c r="O714">
        <v>1</v>
      </c>
      <c r="P714">
        <v>97</v>
      </c>
      <c r="Q714">
        <v>204</v>
      </c>
      <c r="R714">
        <v>1</v>
      </c>
      <c r="S714">
        <v>1500000</v>
      </c>
      <c r="T714" t="s">
        <v>1280</v>
      </c>
      <c r="U714" t="s">
        <v>112</v>
      </c>
      <c r="W714">
        <v>487.5</v>
      </c>
      <c r="X714" t="b">
        <v>0</v>
      </c>
    </row>
    <row r="715" spans="1:24" x14ac:dyDescent="0.25">
      <c r="A715">
        <v>714</v>
      </c>
      <c r="B715" t="s">
        <v>2274</v>
      </c>
      <c r="C715">
        <v>4</v>
      </c>
      <c r="D715">
        <v>15</v>
      </c>
      <c r="E715">
        <v>70</v>
      </c>
      <c r="F715">
        <v>4</v>
      </c>
      <c r="G715" t="s">
        <v>112</v>
      </c>
      <c r="H715">
        <v>5</v>
      </c>
      <c r="I715">
        <v>6</v>
      </c>
      <c r="J715">
        <v>875</v>
      </c>
      <c r="K715">
        <v>2188</v>
      </c>
      <c r="L715">
        <v>1</v>
      </c>
      <c r="M715">
        <v>146</v>
      </c>
      <c r="N715">
        <v>365</v>
      </c>
      <c r="O715">
        <v>1</v>
      </c>
      <c r="P715">
        <v>184</v>
      </c>
      <c r="Q715">
        <v>386</v>
      </c>
      <c r="R715">
        <v>1</v>
      </c>
      <c r="S715">
        <v>3000000</v>
      </c>
      <c r="T715" t="s">
        <v>1280</v>
      </c>
      <c r="U715" t="s">
        <v>691</v>
      </c>
      <c r="V715" t="s">
        <v>1131</v>
      </c>
      <c r="W715">
        <v>712.5</v>
      </c>
      <c r="X715" t="b">
        <v>0</v>
      </c>
    </row>
    <row r="716" spans="1:24" x14ac:dyDescent="0.25">
      <c r="A716">
        <v>715</v>
      </c>
      <c r="B716" t="s">
        <v>1895</v>
      </c>
      <c r="C716">
        <v>6</v>
      </c>
      <c r="D716">
        <v>25</v>
      </c>
      <c r="E716">
        <v>99</v>
      </c>
      <c r="F716">
        <v>0</v>
      </c>
      <c r="G716">
        <v>0</v>
      </c>
      <c r="H716">
        <v>1</v>
      </c>
      <c r="I716" t="s">
        <v>112</v>
      </c>
      <c r="J716">
        <v>1213</v>
      </c>
      <c r="K716">
        <v>2569</v>
      </c>
      <c r="L716">
        <v>1</v>
      </c>
      <c r="M716">
        <v>823</v>
      </c>
      <c r="N716">
        <v>1287</v>
      </c>
      <c r="O716">
        <v>1</v>
      </c>
      <c r="P716">
        <v>188</v>
      </c>
      <c r="Q716">
        <v>282</v>
      </c>
      <c r="R716">
        <v>1</v>
      </c>
      <c r="S716">
        <v>4000000</v>
      </c>
      <c r="T716" t="s">
        <v>1896</v>
      </c>
      <c r="U716" t="s">
        <v>1876</v>
      </c>
      <c r="V716" t="s">
        <v>898</v>
      </c>
      <c r="W716">
        <v>1162.5</v>
      </c>
      <c r="X716" t="b">
        <v>1</v>
      </c>
    </row>
    <row r="717" spans="1:24" x14ac:dyDescent="0.25">
      <c r="A717">
        <v>716</v>
      </c>
      <c r="B717" t="s">
        <v>1897</v>
      </c>
      <c r="C717">
        <v>7</v>
      </c>
      <c r="D717">
        <v>55</v>
      </c>
      <c r="E717">
        <v>99</v>
      </c>
      <c r="F717">
        <v>2</v>
      </c>
      <c r="G717">
        <v>3</v>
      </c>
      <c r="H717">
        <v>4</v>
      </c>
      <c r="I717">
        <v>1</v>
      </c>
      <c r="J717">
        <v>1239</v>
      </c>
      <c r="K717">
        <v>2826</v>
      </c>
      <c r="L717">
        <v>1</v>
      </c>
      <c r="M717">
        <v>873</v>
      </c>
      <c r="N717">
        <v>1197</v>
      </c>
      <c r="O717">
        <v>1</v>
      </c>
      <c r="P717">
        <v>145</v>
      </c>
      <c r="Q717">
        <v>218</v>
      </c>
      <c r="R717">
        <v>1</v>
      </c>
      <c r="S717">
        <v>4000000</v>
      </c>
      <c r="T717" t="s">
        <v>1898</v>
      </c>
      <c r="U717" t="s">
        <v>1881</v>
      </c>
      <c r="V717" t="s">
        <v>356</v>
      </c>
      <c r="W717">
        <v>2325</v>
      </c>
      <c r="X717" t="b">
        <v>1</v>
      </c>
    </row>
    <row r="718" spans="1:24" x14ac:dyDescent="0.25">
      <c r="A718">
        <v>717</v>
      </c>
      <c r="B718" t="s">
        <v>1283</v>
      </c>
      <c r="C718">
        <v>2</v>
      </c>
      <c r="D718">
        <v>5</v>
      </c>
      <c r="E718">
        <v>30</v>
      </c>
      <c r="F718">
        <v>1</v>
      </c>
      <c r="G718" t="s">
        <v>112</v>
      </c>
      <c r="H718">
        <v>1</v>
      </c>
      <c r="I718" t="s">
        <v>112</v>
      </c>
      <c r="J718">
        <v>102</v>
      </c>
      <c r="K718">
        <v>582</v>
      </c>
      <c r="L718">
        <v>1</v>
      </c>
      <c r="M718">
        <v>58</v>
      </c>
      <c r="N718">
        <v>316</v>
      </c>
      <c r="O718">
        <v>1</v>
      </c>
      <c r="P718">
        <v>24</v>
      </c>
      <c r="Q718">
        <v>165</v>
      </c>
      <c r="R718">
        <v>1</v>
      </c>
      <c r="S718">
        <v>1500000</v>
      </c>
      <c r="T718" t="s">
        <v>112</v>
      </c>
      <c r="U718" t="s">
        <v>1044</v>
      </c>
      <c r="W718">
        <v>600</v>
      </c>
      <c r="X718" t="b">
        <v>0</v>
      </c>
    </row>
    <row r="719" spans="1:24" x14ac:dyDescent="0.25">
      <c r="A719">
        <v>718</v>
      </c>
      <c r="B719" t="s">
        <v>1284</v>
      </c>
      <c r="C719">
        <v>2</v>
      </c>
      <c r="D719">
        <v>5</v>
      </c>
      <c r="E719">
        <v>30</v>
      </c>
      <c r="F719">
        <v>4</v>
      </c>
      <c r="G719" t="s">
        <v>112</v>
      </c>
      <c r="H719">
        <v>7</v>
      </c>
      <c r="I719" t="s">
        <v>112</v>
      </c>
      <c r="J719">
        <v>88</v>
      </c>
      <c r="K719">
        <v>473</v>
      </c>
      <c r="L719">
        <v>1</v>
      </c>
      <c r="M719">
        <v>71</v>
      </c>
      <c r="N719">
        <v>358</v>
      </c>
      <c r="O719">
        <v>1</v>
      </c>
      <c r="P719">
        <v>27</v>
      </c>
      <c r="Q719">
        <v>172</v>
      </c>
      <c r="R719">
        <v>1</v>
      </c>
      <c r="S719">
        <v>1500000</v>
      </c>
      <c r="T719" t="s">
        <v>112</v>
      </c>
      <c r="U719" t="s">
        <v>1059</v>
      </c>
      <c r="W719">
        <v>600</v>
      </c>
      <c r="X719" t="b">
        <v>0</v>
      </c>
    </row>
    <row r="720" spans="1:24" x14ac:dyDescent="0.25">
      <c r="A720">
        <v>719</v>
      </c>
      <c r="B720" t="s">
        <v>1285</v>
      </c>
      <c r="C720">
        <v>6</v>
      </c>
      <c r="D720">
        <v>40</v>
      </c>
      <c r="E720">
        <v>99</v>
      </c>
      <c r="F720">
        <v>2</v>
      </c>
      <c r="G720" t="s">
        <v>112</v>
      </c>
      <c r="H720">
        <v>4</v>
      </c>
      <c r="I720">
        <v>6</v>
      </c>
      <c r="J720">
        <v>312</v>
      </c>
      <c r="K720">
        <v>1591</v>
      </c>
      <c r="L720">
        <v>1</v>
      </c>
      <c r="M720">
        <v>432</v>
      </c>
      <c r="N720">
        <v>1771</v>
      </c>
      <c r="O720">
        <v>1</v>
      </c>
      <c r="P720">
        <v>111</v>
      </c>
      <c r="Q720">
        <v>222</v>
      </c>
      <c r="R720">
        <v>1</v>
      </c>
      <c r="S720">
        <v>4000000</v>
      </c>
      <c r="T720" t="s">
        <v>137</v>
      </c>
      <c r="U720" t="s">
        <v>788</v>
      </c>
      <c r="V720" t="s">
        <v>354</v>
      </c>
      <c r="W720">
        <v>1725</v>
      </c>
      <c r="X720" t="b">
        <v>0</v>
      </c>
    </row>
    <row r="721" spans="1:24" x14ac:dyDescent="0.25">
      <c r="A721">
        <v>720</v>
      </c>
      <c r="B721" t="s">
        <v>1286</v>
      </c>
      <c r="C721">
        <v>3</v>
      </c>
      <c r="D721">
        <v>5</v>
      </c>
      <c r="E721">
        <v>25</v>
      </c>
      <c r="F721">
        <v>3</v>
      </c>
      <c r="G721" t="s">
        <v>112</v>
      </c>
      <c r="H721">
        <v>2</v>
      </c>
      <c r="I721" t="s">
        <v>112</v>
      </c>
      <c r="J721">
        <v>280</v>
      </c>
      <c r="K721">
        <v>1260</v>
      </c>
      <c r="L721">
        <v>1</v>
      </c>
      <c r="M721">
        <v>86</v>
      </c>
      <c r="N721">
        <v>387</v>
      </c>
      <c r="O721">
        <v>1</v>
      </c>
      <c r="P721">
        <v>1</v>
      </c>
      <c r="Q721">
        <v>2</v>
      </c>
      <c r="R721">
        <v>1</v>
      </c>
      <c r="S721">
        <v>1500000</v>
      </c>
      <c r="T721" t="s">
        <v>139</v>
      </c>
      <c r="U721" t="s">
        <v>112</v>
      </c>
      <c r="W721">
        <v>300</v>
      </c>
      <c r="X721" t="b">
        <v>0</v>
      </c>
    </row>
    <row r="722" spans="1:24" x14ac:dyDescent="0.25">
      <c r="A722">
        <v>721</v>
      </c>
      <c r="B722" t="s">
        <v>1287</v>
      </c>
      <c r="C722">
        <v>4</v>
      </c>
      <c r="D722">
        <v>10</v>
      </c>
      <c r="E722">
        <v>70</v>
      </c>
      <c r="F722">
        <v>3</v>
      </c>
      <c r="G722" t="s">
        <v>112</v>
      </c>
      <c r="H722">
        <v>2</v>
      </c>
      <c r="I722" t="s">
        <v>112</v>
      </c>
      <c r="J722">
        <v>1008</v>
      </c>
      <c r="K722">
        <v>2520</v>
      </c>
      <c r="L722">
        <v>1</v>
      </c>
      <c r="M722">
        <v>348</v>
      </c>
      <c r="N722">
        <v>870</v>
      </c>
      <c r="O722">
        <v>1</v>
      </c>
      <c r="P722">
        <v>2</v>
      </c>
      <c r="Q722">
        <v>4</v>
      </c>
      <c r="R722">
        <v>1</v>
      </c>
      <c r="S722">
        <v>3000000</v>
      </c>
      <c r="T722" t="s">
        <v>139</v>
      </c>
      <c r="U722" t="s">
        <v>717</v>
      </c>
      <c r="V722" t="s">
        <v>2415</v>
      </c>
      <c r="W722">
        <v>525</v>
      </c>
      <c r="X722" t="b">
        <v>0</v>
      </c>
    </row>
    <row r="723" spans="1:24" x14ac:dyDescent="0.25">
      <c r="A723">
        <v>722</v>
      </c>
      <c r="B723" t="s">
        <v>1288</v>
      </c>
      <c r="C723">
        <v>3</v>
      </c>
      <c r="D723">
        <v>5</v>
      </c>
      <c r="E723">
        <v>25</v>
      </c>
      <c r="F723">
        <v>0</v>
      </c>
      <c r="G723" t="s">
        <v>112</v>
      </c>
      <c r="H723">
        <v>1</v>
      </c>
      <c r="I723" t="s">
        <v>112</v>
      </c>
      <c r="J723">
        <v>212</v>
      </c>
      <c r="K723">
        <v>954</v>
      </c>
      <c r="L723">
        <v>1</v>
      </c>
      <c r="M723">
        <v>81</v>
      </c>
      <c r="N723">
        <v>365</v>
      </c>
      <c r="O723">
        <v>1</v>
      </c>
      <c r="P723">
        <v>54</v>
      </c>
      <c r="Q723">
        <v>113</v>
      </c>
      <c r="R723">
        <v>1</v>
      </c>
      <c r="S723">
        <v>1500000</v>
      </c>
      <c r="T723" t="s">
        <v>114</v>
      </c>
      <c r="U723" t="s">
        <v>112</v>
      </c>
      <c r="W723">
        <v>300</v>
      </c>
      <c r="X723" t="b">
        <v>0</v>
      </c>
    </row>
    <row r="724" spans="1:24" x14ac:dyDescent="0.25">
      <c r="A724">
        <v>723</v>
      </c>
      <c r="B724" t="s">
        <v>1289</v>
      </c>
      <c r="C724">
        <v>4</v>
      </c>
      <c r="D724">
        <v>10</v>
      </c>
      <c r="E724">
        <v>70</v>
      </c>
      <c r="F724">
        <v>0</v>
      </c>
      <c r="G724" t="s">
        <v>112</v>
      </c>
      <c r="H724">
        <v>1</v>
      </c>
      <c r="I724" t="s">
        <v>112</v>
      </c>
      <c r="J724">
        <v>763</v>
      </c>
      <c r="K724">
        <v>1908</v>
      </c>
      <c r="L724">
        <v>1</v>
      </c>
      <c r="M724">
        <v>329</v>
      </c>
      <c r="N724">
        <v>823</v>
      </c>
      <c r="O724">
        <v>1</v>
      </c>
      <c r="P724">
        <v>102</v>
      </c>
      <c r="Q724">
        <v>214</v>
      </c>
      <c r="R724">
        <v>1</v>
      </c>
      <c r="S724">
        <v>3000000</v>
      </c>
      <c r="T724" t="s">
        <v>114</v>
      </c>
      <c r="U724" t="s">
        <v>704</v>
      </c>
      <c r="V724" t="s">
        <v>2416</v>
      </c>
      <c r="W724">
        <v>525</v>
      </c>
      <c r="X724" t="b">
        <v>0</v>
      </c>
    </row>
    <row r="725" spans="1:24" x14ac:dyDescent="0.25">
      <c r="A725">
        <v>724</v>
      </c>
      <c r="B725" t="s">
        <v>1290</v>
      </c>
      <c r="C725">
        <v>3</v>
      </c>
      <c r="D725">
        <v>5</v>
      </c>
      <c r="E725">
        <v>25</v>
      </c>
      <c r="F725">
        <v>2</v>
      </c>
      <c r="G725" t="s">
        <v>112</v>
      </c>
      <c r="H725">
        <v>6</v>
      </c>
      <c r="I725" t="s">
        <v>112</v>
      </c>
      <c r="J725">
        <v>118</v>
      </c>
      <c r="K725">
        <v>531</v>
      </c>
      <c r="L725">
        <v>1</v>
      </c>
      <c r="M725">
        <v>125</v>
      </c>
      <c r="N725">
        <v>563</v>
      </c>
      <c r="O725">
        <v>1</v>
      </c>
      <c r="P725">
        <v>51</v>
      </c>
      <c r="Q725">
        <v>107</v>
      </c>
      <c r="R725">
        <v>1</v>
      </c>
      <c r="S725">
        <v>1500000</v>
      </c>
      <c r="T725" t="s">
        <v>131</v>
      </c>
      <c r="U725" t="s">
        <v>112</v>
      </c>
      <c r="W725">
        <v>300</v>
      </c>
      <c r="X725" t="b">
        <v>0</v>
      </c>
    </row>
    <row r="726" spans="1:24" x14ac:dyDescent="0.25">
      <c r="A726">
        <v>725</v>
      </c>
      <c r="B726" t="s">
        <v>1291</v>
      </c>
      <c r="C726">
        <v>4</v>
      </c>
      <c r="D726">
        <v>10</v>
      </c>
      <c r="E726">
        <v>70</v>
      </c>
      <c r="F726">
        <v>2</v>
      </c>
      <c r="G726" t="s">
        <v>112</v>
      </c>
      <c r="H726">
        <v>6</v>
      </c>
      <c r="I726" t="s">
        <v>112</v>
      </c>
      <c r="J726">
        <v>425</v>
      </c>
      <c r="K726">
        <v>1063</v>
      </c>
      <c r="L726">
        <v>1</v>
      </c>
      <c r="M726">
        <v>507</v>
      </c>
      <c r="N726">
        <v>1268</v>
      </c>
      <c r="O726">
        <v>1</v>
      </c>
      <c r="P726">
        <v>96</v>
      </c>
      <c r="Q726">
        <v>202</v>
      </c>
      <c r="R726">
        <v>1</v>
      </c>
      <c r="S726">
        <v>3000000</v>
      </c>
      <c r="T726" t="s">
        <v>131</v>
      </c>
      <c r="U726" t="s">
        <v>712</v>
      </c>
      <c r="V726" t="s">
        <v>2417</v>
      </c>
      <c r="W726">
        <v>525</v>
      </c>
      <c r="X726" t="b">
        <v>0</v>
      </c>
    </row>
    <row r="727" spans="1:24" x14ac:dyDescent="0.25">
      <c r="A727">
        <v>726</v>
      </c>
      <c r="B727" t="s">
        <v>1292</v>
      </c>
      <c r="C727">
        <v>3</v>
      </c>
      <c r="D727">
        <v>5</v>
      </c>
      <c r="E727">
        <v>25</v>
      </c>
      <c r="F727">
        <v>3</v>
      </c>
      <c r="G727" t="s">
        <v>112</v>
      </c>
      <c r="H727">
        <v>3</v>
      </c>
      <c r="I727" t="s">
        <v>112</v>
      </c>
      <c r="J727">
        <v>112</v>
      </c>
      <c r="K727">
        <v>504</v>
      </c>
      <c r="L727">
        <v>1</v>
      </c>
      <c r="M727">
        <v>68</v>
      </c>
      <c r="N727">
        <v>306</v>
      </c>
      <c r="O727">
        <v>1</v>
      </c>
      <c r="P727">
        <v>134</v>
      </c>
      <c r="Q727">
        <v>281</v>
      </c>
      <c r="R727">
        <v>1</v>
      </c>
      <c r="S727">
        <v>1500000</v>
      </c>
      <c r="T727" t="s">
        <v>254</v>
      </c>
      <c r="U727" t="s">
        <v>112</v>
      </c>
      <c r="W727">
        <v>300</v>
      </c>
      <c r="X727" t="b">
        <v>0</v>
      </c>
    </row>
    <row r="728" spans="1:24" x14ac:dyDescent="0.25">
      <c r="A728">
        <v>727</v>
      </c>
      <c r="B728" t="s">
        <v>1293</v>
      </c>
      <c r="C728">
        <v>4</v>
      </c>
      <c r="D728">
        <v>10</v>
      </c>
      <c r="E728">
        <v>70</v>
      </c>
      <c r="F728">
        <v>3</v>
      </c>
      <c r="G728" t="s">
        <v>112</v>
      </c>
      <c r="H728">
        <v>3</v>
      </c>
      <c r="I728" t="s">
        <v>112</v>
      </c>
      <c r="J728">
        <v>403</v>
      </c>
      <c r="K728">
        <v>1008</v>
      </c>
      <c r="L728">
        <v>1</v>
      </c>
      <c r="M728">
        <v>275</v>
      </c>
      <c r="N728">
        <v>688</v>
      </c>
      <c r="O728">
        <v>1</v>
      </c>
      <c r="P728">
        <v>253</v>
      </c>
      <c r="Q728">
        <v>531</v>
      </c>
      <c r="R728">
        <v>1</v>
      </c>
      <c r="S728">
        <v>3000000</v>
      </c>
      <c r="T728" t="s">
        <v>254</v>
      </c>
      <c r="U728" t="s">
        <v>195</v>
      </c>
      <c r="V728" t="s">
        <v>1463</v>
      </c>
      <c r="W728">
        <v>525</v>
      </c>
      <c r="X728" t="b">
        <v>0</v>
      </c>
    </row>
    <row r="729" spans="1:24" x14ac:dyDescent="0.25">
      <c r="A729">
        <v>728</v>
      </c>
      <c r="B729" t="s">
        <v>1294</v>
      </c>
      <c r="C729">
        <v>4</v>
      </c>
      <c r="D729">
        <v>15</v>
      </c>
      <c r="E729">
        <v>50</v>
      </c>
      <c r="F729">
        <v>0</v>
      </c>
      <c r="G729" t="s">
        <v>112</v>
      </c>
      <c r="H729">
        <v>4</v>
      </c>
      <c r="I729" t="s">
        <v>112</v>
      </c>
      <c r="J729">
        <v>352</v>
      </c>
      <c r="K729">
        <v>1584</v>
      </c>
      <c r="L729">
        <v>1</v>
      </c>
      <c r="M729">
        <v>131</v>
      </c>
      <c r="N729">
        <v>590</v>
      </c>
      <c r="O729">
        <v>1</v>
      </c>
      <c r="P729">
        <v>11</v>
      </c>
      <c r="Q729">
        <v>23</v>
      </c>
      <c r="R729">
        <v>1</v>
      </c>
      <c r="S729">
        <v>1500000</v>
      </c>
      <c r="T729" t="s">
        <v>1295</v>
      </c>
      <c r="U729" t="s">
        <v>1296</v>
      </c>
      <c r="W729">
        <v>712.5</v>
      </c>
      <c r="X729" t="b">
        <v>0</v>
      </c>
    </row>
    <row r="730" spans="1:24" x14ac:dyDescent="0.25">
      <c r="A730">
        <v>729</v>
      </c>
      <c r="B730" t="s">
        <v>1297</v>
      </c>
      <c r="C730">
        <v>5</v>
      </c>
      <c r="D730">
        <v>20</v>
      </c>
      <c r="E730">
        <v>99</v>
      </c>
      <c r="F730">
        <v>0</v>
      </c>
      <c r="G730" t="s">
        <v>112</v>
      </c>
      <c r="H730">
        <v>4</v>
      </c>
      <c r="I730" t="s">
        <v>112</v>
      </c>
      <c r="J730">
        <v>1267</v>
      </c>
      <c r="K730">
        <v>3168</v>
      </c>
      <c r="L730">
        <v>1</v>
      </c>
      <c r="M730">
        <v>531</v>
      </c>
      <c r="N730">
        <v>1328</v>
      </c>
      <c r="O730">
        <v>1</v>
      </c>
      <c r="P730">
        <v>21</v>
      </c>
      <c r="Q730">
        <v>44</v>
      </c>
      <c r="R730">
        <v>1</v>
      </c>
      <c r="S730">
        <v>3000000</v>
      </c>
      <c r="T730" t="s">
        <v>1295</v>
      </c>
      <c r="U730" t="s">
        <v>1296</v>
      </c>
      <c r="V730" t="s">
        <v>2292</v>
      </c>
      <c r="W730">
        <v>937.5</v>
      </c>
      <c r="X730" t="b">
        <v>0</v>
      </c>
    </row>
    <row r="731" spans="1:24" x14ac:dyDescent="0.25">
      <c r="A731">
        <v>730</v>
      </c>
      <c r="B731" t="s">
        <v>1298</v>
      </c>
      <c r="C731">
        <v>5</v>
      </c>
      <c r="D731">
        <v>40</v>
      </c>
      <c r="E731">
        <v>50</v>
      </c>
      <c r="F731">
        <v>4</v>
      </c>
      <c r="G731" t="s">
        <v>112</v>
      </c>
      <c r="H731">
        <v>7</v>
      </c>
      <c r="I731" t="s">
        <v>112</v>
      </c>
      <c r="J731">
        <v>342</v>
      </c>
      <c r="K731">
        <v>1539</v>
      </c>
      <c r="L731">
        <v>1</v>
      </c>
      <c r="M731">
        <v>153</v>
      </c>
      <c r="N731">
        <v>689</v>
      </c>
      <c r="O731">
        <v>1</v>
      </c>
      <c r="P731">
        <v>0</v>
      </c>
      <c r="Q731">
        <v>0</v>
      </c>
      <c r="R731">
        <v>1</v>
      </c>
      <c r="S731">
        <v>4000000</v>
      </c>
      <c r="T731" t="s">
        <v>1299</v>
      </c>
      <c r="U731" t="s">
        <v>1300</v>
      </c>
      <c r="W731">
        <v>1687.5</v>
      </c>
      <c r="X731" t="b">
        <v>0</v>
      </c>
    </row>
    <row r="732" spans="1:24" x14ac:dyDescent="0.25">
      <c r="A732">
        <v>731</v>
      </c>
      <c r="B732" t="s">
        <v>1301</v>
      </c>
      <c r="C732">
        <v>6</v>
      </c>
      <c r="D732">
        <v>50</v>
      </c>
      <c r="E732">
        <v>99</v>
      </c>
      <c r="F732">
        <v>4</v>
      </c>
      <c r="G732">
        <v>4</v>
      </c>
      <c r="H732">
        <v>7</v>
      </c>
      <c r="I732" t="s">
        <v>112</v>
      </c>
      <c r="J732">
        <v>1231</v>
      </c>
      <c r="K732">
        <v>3078</v>
      </c>
      <c r="L732">
        <v>1</v>
      </c>
      <c r="M732">
        <v>620</v>
      </c>
      <c r="N732">
        <v>1550</v>
      </c>
      <c r="O732">
        <v>1</v>
      </c>
      <c r="P732">
        <v>0</v>
      </c>
      <c r="Q732">
        <v>0</v>
      </c>
      <c r="R732">
        <v>1</v>
      </c>
      <c r="S732">
        <v>4000000</v>
      </c>
      <c r="T732" t="s">
        <v>1299</v>
      </c>
      <c r="U732" t="s">
        <v>1300</v>
      </c>
      <c r="V732" t="s">
        <v>433</v>
      </c>
      <c r="W732">
        <v>2100</v>
      </c>
      <c r="X732" t="b">
        <v>0</v>
      </c>
    </row>
    <row r="733" spans="1:24" x14ac:dyDescent="0.25">
      <c r="A733">
        <v>732</v>
      </c>
      <c r="B733" t="s">
        <v>1302</v>
      </c>
      <c r="C733">
        <v>4</v>
      </c>
      <c r="D733">
        <v>20</v>
      </c>
      <c r="E733">
        <v>99</v>
      </c>
      <c r="F733">
        <v>0</v>
      </c>
      <c r="G733">
        <v>0</v>
      </c>
      <c r="H733">
        <v>13</v>
      </c>
      <c r="I733">
        <v>6</v>
      </c>
      <c r="J733">
        <v>99</v>
      </c>
      <c r="K733">
        <v>2248</v>
      </c>
      <c r="L733">
        <v>1</v>
      </c>
      <c r="M733">
        <v>47</v>
      </c>
      <c r="N733">
        <v>1292</v>
      </c>
      <c r="O733">
        <v>1</v>
      </c>
      <c r="P733">
        <v>83</v>
      </c>
      <c r="Q733">
        <v>223</v>
      </c>
      <c r="R733">
        <v>1</v>
      </c>
      <c r="S733">
        <v>2500000</v>
      </c>
      <c r="T733" t="s">
        <v>835</v>
      </c>
      <c r="U733" t="s">
        <v>1304</v>
      </c>
      <c r="V733" t="s">
        <v>1303</v>
      </c>
      <c r="W733">
        <v>0</v>
      </c>
      <c r="X733" t="b">
        <v>0</v>
      </c>
    </row>
    <row r="734" spans="1:24" x14ac:dyDescent="0.25">
      <c r="A734">
        <v>733</v>
      </c>
      <c r="B734" t="s">
        <v>1305</v>
      </c>
      <c r="C734">
        <v>4</v>
      </c>
      <c r="D734">
        <v>20</v>
      </c>
      <c r="E734">
        <v>99</v>
      </c>
      <c r="F734">
        <v>1</v>
      </c>
      <c r="G734">
        <v>1</v>
      </c>
      <c r="H734">
        <v>13</v>
      </c>
      <c r="I734">
        <v>1</v>
      </c>
      <c r="J734">
        <v>99</v>
      </c>
      <c r="K734">
        <v>2348</v>
      </c>
      <c r="L734">
        <v>1</v>
      </c>
      <c r="M734">
        <v>47</v>
      </c>
      <c r="N734">
        <v>1042</v>
      </c>
      <c r="O734">
        <v>1</v>
      </c>
      <c r="P734">
        <v>83</v>
      </c>
      <c r="Q734">
        <v>423</v>
      </c>
      <c r="R734">
        <v>1</v>
      </c>
      <c r="S734">
        <v>2500000</v>
      </c>
      <c r="T734" t="s">
        <v>835</v>
      </c>
      <c r="U734" t="s">
        <v>1307</v>
      </c>
      <c r="V734" t="s">
        <v>1306</v>
      </c>
      <c r="W734">
        <v>0</v>
      </c>
      <c r="X734" t="b">
        <v>0</v>
      </c>
    </row>
    <row r="735" spans="1:24" x14ac:dyDescent="0.25">
      <c r="A735">
        <v>734</v>
      </c>
      <c r="B735" t="s">
        <v>1308</v>
      </c>
      <c r="C735">
        <v>4</v>
      </c>
      <c r="D735">
        <v>20</v>
      </c>
      <c r="E735">
        <v>99</v>
      </c>
      <c r="F735">
        <v>2</v>
      </c>
      <c r="G735">
        <v>2</v>
      </c>
      <c r="H735">
        <v>13</v>
      </c>
      <c r="I735">
        <v>2</v>
      </c>
      <c r="J735">
        <v>99</v>
      </c>
      <c r="K735">
        <v>2648</v>
      </c>
      <c r="L735">
        <v>1</v>
      </c>
      <c r="M735">
        <v>47</v>
      </c>
      <c r="N735">
        <v>1010</v>
      </c>
      <c r="O735">
        <v>1</v>
      </c>
      <c r="P735">
        <v>83</v>
      </c>
      <c r="Q735">
        <v>280</v>
      </c>
      <c r="R735">
        <v>1</v>
      </c>
      <c r="S735">
        <v>2500000</v>
      </c>
      <c r="T735" t="s">
        <v>835</v>
      </c>
      <c r="U735" t="s">
        <v>1310</v>
      </c>
      <c r="V735" t="s">
        <v>1309</v>
      </c>
      <c r="W735">
        <v>0</v>
      </c>
      <c r="X735" t="b">
        <v>0</v>
      </c>
    </row>
    <row r="736" spans="1:24" x14ac:dyDescent="0.25">
      <c r="A736">
        <v>735</v>
      </c>
      <c r="B736" t="s">
        <v>1311</v>
      </c>
      <c r="C736">
        <v>6</v>
      </c>
      <c r="D736">
        <v>20</v>
      </c>
      <c r="E736">
        <v>70</v>
      </c>
      <c r="F736">
        <v>3</v>
      </c>
      <c r="G736">
        <v>3</v>
      </c>
      <c r="H736">
        <v>3</v>
      </c>
      <c r="I736">
        <v>13</v>
      </c>
      <c r="J736">
        <v>750</v>
      </c>
      <c r="K736">
        <v>2201</v>
      </c>
      <c r="L736">
        <v>1</v>
      </c>
      <c r="M736">
        <v>518</v>
      </c>
      <c r="N736">
        <v>910</v>
      </c>
      <c r="O736">
        <v>1</v>
      </c>
      <c r="P736">
        <v>459</v>
      </c>
      <c r="Q736">
        <v>515</v>
      </c>
      <c r="R736">
        <v>1</v>
      </c>
      <c r="S736">
        <v>1500000</v>
      </c>
      <c r="T736" t="s">
        <v>1110</v>
      </c>
      <c r="U736" t="s">
        <v>1312</v>
      </c>
      <c r="V736" t="s">
        <v>1109</v>
      </c>
      <c r="W736">
        <v>0</v>
      </c>
      <c r="X736" t="b">
        <v>0</v>
      </c>
    </row>
    <row r="737" spans="1:24" x14ac:dyDescent="0.25">
      <c r="A737">
        <v>736</v>
      </c>
      <c r="B737" t="s">
        <v>1313</v>
      </c>
      <c r="C737">
        <v>5</v>
      </c>
      <c r="D737">
        <v>20</v>
      </c>
      <c r="E737">
        <v>99</v>
      </c>
      <c r="F737">
        <v>2</v>
      </c>
      <c r="G737">
        <v>1</v>
      </c>
      <c r="H737">
        <v>2</v>
      </c>
      <c r="I737" t="s">
        <v>112</v>
      </c>
      <c r="J737">
        <v>2420</v>
      </c>
      <c r="K737">
        <v>3388</v>
      </c>
      <c r="L737">
        <v>1</v>
      </c>
      <c r="M737">
        <v>601</v>
      </c>
      <c r="N737">
        <v>851</v>
      </c>
      <c r="O737">
        <v>1</v>
      </c>
      <c r="P737">
        <v>282</v>
      </c>
      <c r="Q737">
        <v>367</v>
      </c>
      <c r="R737">
        <v>1</v>
      </c>
      <c r="S737">
        <v>2500000</v>
      </c>
      <c r="T737" t="s">
        <v>885</v>
      </c>
      <c r="U737" t="s">
        <v>878</v>
      </c>
      <c r="V737" t="s">
        <v>1314</v>
      </c>
      <c r="W737">
        <v>937.5</v>
      </c>
      <c r="X737" t="b">
        <v>0</v>
      </c>
    </row>
    <row r="738" spans="1:24" x14ac:dyDescent="0.25">
      <c r="A738">
        <v>737</v>
      </c>
      <c r="B738" t="s">
        <v>1315</v>
      </c>
      <c r="C738">
        <v>5</v>
      </c>
      <c r="D738">
        <v>50</v>
      </c>
      <c r="E738">
        <v>99</v>
      </c>
      <c r="F738">
        <v>0</v>
      </c>
      <c r="G738">
        <v>3</v>
      </c>
      <c r="H738">
        <v>4</v>
      </c>
      <c r="I738" t="s">
        <v>112</v>
      </c>
      <c r="J738">
        <v>471</v>
      </c>
      <c r="K738">
        <v>2120</v>
      </c>
      <c r="L738">
        <v>1</v>
      </c>
      <c r="M738">
        <v>316</v>
      </c>
      <c r="N738">
        <v>1106</v>
      </c>
      <c r="O738">
        <v>1</v>
      </c>
      <c r="P738">
        <v>66</v>
      </c>
      <c r="Q738">
        <v>218</v>
      </c>
      <c r="R738">
        <v>1</v>
      </c>
      <c r="S738">
        <v>2500000</v>
      </c>
      <c r="T738" t="s">
        <v>1316</v>
      </c>
      <c r="U738" t="s">
        <v>1317</v>
      </c>
      <c r="V738" t="s">
        <v>220</v>
      </c>
      <c r="W738">
        <v>2100</v>
      </c>
      <c r="X738" t="b">
        <v>0</v>
      </c>
    </row>
    <row r="739" spans="1:24" x14ac:dyDescent="0.25">
      <c r="A739">
        <v>738</v>
      </c>
      <c r="B739" t="s">
        <v>1318</v>
      </c>
      <c r="C739">
        <v>5</v>
      </c>
      <c r="D739">
        <v>50</v>
      </c>
      <c r="E739">
        <v>99</v>
      </c>
      <c r="F739">
        <v>1</v>
      </c>
      <c r="G739">
        <v>2</v>
      </c>
      <c r="H739">
        <v>4</v>
      </c>
      <c r="I739" t="s">
        <v>112</v>
      </c>
      <c r="J739">
        <v>474</v>
      </c>
      <c r="K739">
        <v>2133</v>
      </c>
      <c r="L739">
        <v>1</v>
      </c>
      <c r="M739">
        <v>313</v>
      </c>
      <c r="N739">
        <v>1096</v>
      </c>
      <c r="O739">
        <v>1</v>
      </c>
      <c r="P739">
        <v>68</v>
      </c>
      <c r="Q739">
        <v>224</v>
      </c>
      <c r="R739">
        <v>1</v>
      </c>
      <c r="S739">
        <v>2500000</v>
      </c>
      <c r="T739" t="s">
        <v>568</v>
      </c>
      <c r="U739" t="s">
        <v>1317</v>
      </c>
      <c r="V739" t="s">
        <v>220</v>
      </c>
      <c r="W739">
        <v>2100</v>
      </c>
      <c r="X739" t="b">
        <v>0</v>
      </c>
    </row>
    <row r="740" spans="1:24" x14ac:dyDescent="0.25">
      <c r="A740">
        <v>739</v>
      </c>
      <c r="B740" t="s">
        <v>1319</v>
      </c>
      <c r="C740">
        <v>5</v>
      </c>
      <c r="D740">
        <v>50</v>
      </c>
      <c r="E740">
        <v>99</v>
      </c>
      <c r="F740">
        <v>2</v>
      </c>
      <c r="G740">
        <v>4</v>
      </c>
      <c r="H740">
        <v>4</v>
      </c>
      <c r="I740" t="s">
        <v>112</v>
      </c>
      <c r="J740">
        <v>473</v>
      </c>
      <c r="K740">
        <v>2129</v>
      </c>
      <c r="L740">
        <v>1</v>
      </c>
      <c r="M740">
        <v>314</v>
      </c>
      <c r="N740">
        <v>1099</v>
      </c>
      <c r="O740">
        <v>1</v>
      </c>
      <c r="P740">
        <v>67</v>
      </c>
      <c r="Q740">
        <v>221</v>
      </c>
      <c r="R740">
        <v>1</v>
      </c>
      <c r="S740">
        <v>2500000</v>
      </c>
      <c r="T740" t="s">
        <v>1320</v>
      </c>
      <c r="U740" t="s">
        <v>1317</v>
      </c>
      <c r="V740" t="s">
        <v>220</v>
      </c>
      <c r="W740">
        <v>2100</v>
      </c>
      <c r="X740" t="b">
        <v>0</v>
      </c>
    </row>
    <row r="741" spans="1:24" x14ac:dyDescent="0.25">
      <c r="A741">
        <v>740</v>
      </c>
      <c r="B741" t="s">
        <v>1321</v>
      </c>
      <c r="C741">
        <v>5</v>
      </c>
      <c r="D741">
        <v>50</v>
      </c>
      <c r="E741">
        <v>99</v>
      </c>
      <c r="F741">
        <v>3</v>
      </c>
      <c r="G741">
        <v>1</v>
      </c>
      <c r="H741">
        <v>4</v>
      </c>
      <c r="I741" t="s">
        <v>112</v>
      </c>
      <c r="J741">
        <v>472</v>
      </c>
      <c r="K741">
        <v>2124</v>
      </c>
      <c r="L741">
        <v>1</v>
      </c>
      <c r="M741">
        <v>312</v>
      </c>
      <c r="N741">
        <v>1092</v>
      </c>
      <c r="O741">
        <v>1</v>
      </c>
      <c r="P741">
        <v>69</v>
      </c>
      <c r="Q741">
        <v>228</v>
      </c>
      <c r="R741">
        <v>1</v>
      </c>
      <c r="S741">
        <v>2500000</v>
      </c>
      <c r="T741" t="s">
        <v>1322</v>
      </c>
      <c r="U741" t="s">
        <v>1317</v>
      </c>
      <c r="V741" t="s">
        <v>220</v>
      </c>
      <c r="W741">
        <v>2100</v>
      </c>
      <c r="X741" t="b">
        <v>0</v>
      </c>
    </row>
    <row r="742" spans="1:24" x14ac:dyDescent="0.25">
      <c r="A742">
        <v>741</v>
      </c>
      <c r="B742" t="s">
        <v>1323</v>
      </c>
      <c r="C742">
        <v>5</v>
      </c>
      <c r="D742">
        <v>50</v>
      </c>
      <c r="E742">
        <v>99</v>
      </c>
      <c r="F742">
        <v>4</v>
      </c>
      <c r="G742">
        <v>0</v>
      </c>
      <c r="H742">
        <v>4</v>
      </c>
      <c r="I742" t="s">
        <v>112</v>
      </c>
      <c r="J742">
        <v>470</v>
      </c>
      <c r="K742">
        <v>2115</v>
      </c>
      <c r="L742">
        <v>1</v>
      </c>
      <c r="M742">
        <v>315</v>
      </c>
      <c r="N742">
        <v>1103</v>
      </c>
      <c r="O742">
        <v>1</v>
      </c>
      <c r="P742">
        <v>65</v>
      </c>
      <c r="Q742">
        <v>215</v>
      </c>
      <c r="R742">
        <v>1</v>
      </c>
      <c r="S742">
        <v>2500000</v>
      </c>
      <c r="T742" t="s">
        <v>1324</v>
      </c>
      <c r="U742" t="s">
        <v>1317</v>
      </c>
      <c r="V742" t="s">
        <v>220</v>
      </c>
      <c r="W742">
        <v>2100</v>
      </c>
      <c r="X742" t="b">
        <v>0</v>
      </c>
    </row>
    <row r="743" spans="1:24" x14ac:dyDescent="0.25">
      <c r="A743">
        <v>742</v>
      </c>
      <c r="B743" t="s">
        <v>1325</v>
      </c>
      <c r="C743">
        <v>2</v>
      </c>
      <c r="D743">
        <v>3</v>
      </c>
      <c r="E743">
        <v>30</v>
      </c>
      <c r="F743">
        <v>2</v>
      </c>
      <c r="G743" t="s">
        <v>112</v>
      </c>
      <c r="H743">
        <v>4</v>
      </c>
      <c r="I743" t="s">
        <v>112</v>
      </c>
      <c r="J743">
        <v>55</v>
      </c>
      <c r="K743">
        <v>226</v>
      </c>
      <c r="L743">
        <v>0.7</v>
      </c>
      <c r="M743">
        <v>41</v>
      </c>
      <c r="N743">
        <v>101</v>
      </c>
      <c r="O743">
        <v>0.7</v>
      </c>
      <c r="P743">
        <v>0</v>
      </c>
      <c r="Q743">
        <v>0</v>
      </c>
      <c r="R743">
        <v>0.7</v>
      </c>
      <c r="S743">
        <v>1000000</v>
      </c>
      <c r="T743" t="s">
        <v>112</v>
      </c>
      <c r="U743" t="s">
        <v>1326</v>
      </c>
      <c r="W743">
        <v>187.5</v>
      </c>
      <c r="X743" t="b">
        <v>0</v>
      </c>
    </row>
    <row r="744" spans="1:24" x14ac:dyDescent="0.25">
      <c r="A744">
        <v>743</v>
      </c>
      <c r="B744" t="s">
        <v>1327</v>
      </c>
      <c r="C744">
        <v>3</v>
      </c>
      <c r="D744">
        <v>7</v>
      </c>
      <c r="E744">
        <v>50</v>
      </c>
      <c r="F744">
        <v>2</v>
      </c>
      <c r="G744" t="s">
        <v>112</v>
      </c>
      <c r="H744">
        <v>4</v>
      </c>
      <c r="I744" t="s">
        <v>112</v>
      </c>
      <c r="J744">
        <v>181</v>
      </c>
      <c r="K744">
        <v>526</v>
      </c>
      <c r="L744">
        <v>0.7</v>
      </c>
      <c r="M744">
        <v>91</v>
      </c>
      <c r="N744">
        <v>321</v>
      </c>
      <c r="O744">
        <v>0.7</v>
      </c>
      <c r="P744">
        <v>0</v>
      </c>
      <c r="Q744">
        <v>0</v>
      </c>
      <c r="R744">
        <v>0.7</v>
      </c>
      <c r="S744">
        <v>1000000</v>
      </c>
      <c r="T744" t="s">
        <v>112</v>
      </c>
      <c r="U744" t="s">
        <v>1328</v>
      </c>
      <c r="W744">
        <v>375</v>
      </c>
      <c r="X744" t="b">
        <v>0</v>
      </c>
    </row>
    <row r="745" spans="1:24" x14ac:dyDescent="0.25">
      <c r="A745">
        <v>744</v>
      </c>
      <c r="B745" t="s">
        <v>1329</v>
      </c>
      <c r="C745">
        <v>4</v>
      </c>
      <c r="D745">
        <v>15</v>
      </c>
      <c r="E745">
        <v>70</v>
      </c>
      <c r="F745">
        <v>2</v>
      </c>
      <c r="G745" t="s">
        <v>112</v>
      </c>
      <c r="H745">
        <v>4</v>
      </c>
      <c r="I745" t="s">
        <v>112</v>
      </c>
      <c r="J745">
        <v>421</v>
      </c>
      <c r="K745">
        <v>1137</v>
      </c>
      <c r="L745">
        <v>0.7</v>
      </c>
      <c r="M745">
        <v>289</v>
      </c>
      <c r="N745">
        <v>954</v>
      </c>
      <c r="O745">
        <v>0.7</v>
      </c>
      <c r="P745">
        <v>0</v>
      </c>
      <c r="Q745">
        <v>0</v>
      </c>
      <c r="R745">
        <v>0.7</v>
      </c>
      <c r="S745">
        <v>3000000</v>
      </c>
      <c r="T745" t="s">
        <v>112</v>
      </c>
      <c r="U745" t="s">
        <v>1328</v>
      </c>
      <c r="V745" t="s">
        <v>1330</v>
      </c>
      <c r="W745">
        <v>712.5</v>
      </c>
      <c r="X745" t="b">
        <v>0</v>
      </c>
    </row>
    <row r="746" spans="1:24" x14ac:dyDescent="0.25">
      <c r="A746">
        <v>745</v>
      </c>
      <c r="B746" t="s">
        <v>1331</v>
      </c>
      <c r="C746">
        <v>5</v>
      </c>
      <c r="D746">
        <v>20</v>
      </c>
      <c r="E746">
        <v>50</v>
      </c>
      <c r="F746">
        <v>0</v>
      </c>
      <c r="G746" t="s">
        <v>112</v>
      </c>
      <c r="H746">
        <v>5</v>
      </c>
      <c r="I746" t="s">
        <v>112</v>
      </c>
      <c r="J746">
        <v>674</v>
      </c>
      <c r="K746">
        <v>1618</v>
      </c>
      <c r="L746">
        <v>1</v>
      </c>
      <c r="M746">
        <v>510</v>
      </c>
      <c r="N746">
        <v>1020</v>
      </c>
      <c r="O746">
        <v>1</v>
      </c>
      <c r="P746">
        <v>106</v>
      </c>
      <c r="Q746">
        <v>223</v>
      </c>
      <c r="R746">
        <v>1</v>
      </c>
      <c r="S746">
        <v>4000000</v>
      </c>
      <c r="T746" t="s">
        <v>1332</v>
      </c>
      <c r="U746" t="s">
        <v>1333</v>
      </c>
      <c r="W746">
        <v>937.5</v>
      </c>
      <c r="X746" t="b">
        <v>0</v>
      </c>
    </row>
    <row r="747" spans="1:24" x14ac:dyDescent="0.25">
      <c r="A747">
        <v>746</v>
      </c>
      <c r="B747" t="s">
        <v>1334</v>
      </c>
      <c r="C747">
        <v>6</v>
      </c>
      <c r="D747">
        <v>25</v>
      </c>
      <c r="E747">
        <v>99</v>
      </c>
      <c r="F747">
        <v>0</v>
      </c>
      <c r="G747" t="s">
        <v>112</v>
      </c>
      <c r="H747">
        <v>5</v>
      </c>
      <c r="I747" t="s">
        <v>112</v>
      </c>
      <c r="J747">
        <v>1294</v>
      </c>
      <c r="K747">
        <v>3235</v>
      </c>
      <c r="L747">
        <v>1</v>
      </c>
      <c r="M747">
        <v>918</v>
      </c>
      <c r="N747">
        <v>1377</v>
      </c>
      <c r="O747">
        <v>1</v>
      </c>
      <c r="P747">
        <v>201</v>
      </c>
      <c r="Q747">
        <v>302</v>
      </c>
      <c r="R747">
        <v>1</v>
      </c>
      <c r="S747">
        <v>4000000</v>
      </c>
      <c r="T747" t="s">
        <v>1332</v>
      </c>
      <c r="U747" t="s">
        <v>1333</v>
      </c>
      <c r="V747" t="s">
        <v>2275</v>
      </c>
      <c r="W747">
        <v>1162.5</v>
      </c>
      <c r="X747" t="b">
        <v>0</v>
      </c>
    </row>
    <row r="748" spans="1:24" x14ac:dyDescent="0.25">
      <c r="A748">
        <v>747</v>
      </c>
      <c r="B748" t="s">
        <v>1335</v>
      </c>
      <c r="C748">
        <v>5</v>
      </c>
      <c r="D748">
        <v>20</v>
      </c>
      <c r="E748">
        <v>50</v>
      </c>
      <c r="F748">
        <v>1</v>
      </c>
      <c r="G748" t="s">
        <v>112</v>
      </c>
      <c r="H748">
        <v>5</v>
      </c>
      <c r="I748" t="s">
        <v>112</v>
      </c>
      <c r="J748">
        <v>676</v>
      </c>
      <c r="K748">
        <v>1622</v>
      </c>
      <c r="L748">
        <v>1</v>
      </c>
      <c r="M748">
        <v>519</v>
      </c>
      <c r="N748">
        <v>1038</v>
      </c>
      <c r="O748">
        <v>1</v>
      </c>
      <c r="P748">
        <v>100</v>
      </c>
      <c r="Q748">
        <v>210</v>
      </c>
      <c r="R748">
        <v>1</v>
      </c>
      <c r="S748">
        <v>4000000</v>
      </c>
      <c r="T748" t="s">
        <v>1336</v>
      </c>
      <c r="U748" t="s">
        <v>1337</v>
      </c>
      <c r="W748">
        <v>937.5</v>
      </c>
      <c r="X748" t="b">
        <v>0</v>
      </c>
    </row>
    <row r="749" spans="1:24" x14ac:dyDescent="0.25">
      <c r="A749">
        <v>748</v>
      </c>
      <c r="B749" t="s">
        <v>1338</v>
      </c>
      <c r="C749">
        <v>6</v>
      </c>
      <c r="D749">
        <v>25</v>
      </c>
      <c r="E749">
        <v>99</v>
      </c>
      <c r="F749">
        <v>1</v>
      </c>
      <c r="G749" t="s">
        <v>112</v>
      </c>
      <c r="H749">
        <v>5</v>
      </c>
      <c r="I749" t="s">
        <v>112</v>
      </c>
      <c r="J749">
        <v>1298</v>
      </c>
      <c r="K749">
        <v>3245</v>
      </c>
      <c r="L749">
        <v>1</v>
      </c>
      <c r="M749">
        <v>934</v>
      </c>
      <c r="N749">
        <v>1401</v>
      </c>
      <c r="O749">
        <v>1</v>
      </c>
      <c r="P749">
        <v>189</v>
      </c>
      <c r="Q749">
        <v>284</v>
      </c>
      <c r="R749">
        <v>1</v>
      </c>
      <c r="S749">
        <v>4000000</v>
      </c>
      <c r="T749" t="s">
        <v>1336</v>
      </c>
      <c r="U749" t="s">
        <v>1337</v>
      </c>
      <c r="V749" t="s">
        <v>2276</v>
      </c>
      <c r="W749">
        <v>1162.5</v>
      </c>
      <c r="X749" t="b">
        <v>0</v>
      </c>
    </row>
    <row r="750" spans="1:24" x14ac:dyDescent="0.25">
      <c r="A750">
        <v>749</v>
      </c>
      <c r="B750" t="s">
        <v>1339</v>
      </c>
      <c r="C750">
        <v>5</v>
      </c>
      <c r="D750">
        <v>20</v>
      </c>
      <c r="E750">
        <v>50</v>
      </c>
      <c r="F750">
        <v>2</v>
      </c>
      <c r="G750" t="s">
        <v>112</v>
      </c>
      <c r="H750">
        <v>5</v>
      </c>
      <c r="I750" t="s">
        <v>112</v>
      </c>
      <c r="J750">
        <v>703</v>
      </c>
      <c r="K750">
        <v>1687</v>
      </c>
      <c r="L750">
        <v>1</v>
      </c>
      <c r="M750">
        <v>505</v>
      </c>
      <c r="N750">
        <v>1010</v>
      </c>
      <c r="O750">
        <v>1</v>
      </c>
      <c r="P750">
        <v>94</v>
      </c>
      <c r="Q750">
        <v>197</v>
      </c>
      <c r="R750">
        <v>1</v>
      </c>
      <c r="S750">
        <v>4000000</v>
      </c>
      <c r="T750" t="s">
        <v>1340</v>
      </c>
      <c r="U750" t="s">
        <v>1341</v>
      </c>
      <c r="W750">
        <v>937.5</v>
      </c>
      <c r="X750" t="b">
        <v>0</v>
      </c>
    </row>
    <row r="751" spans="1:24" x14ac:dyDescent="0.25">
      <c r="A751">
        <v>750</v>
      </c>
      <c r="B751" t="s">
        <v>1342</v>
      </c>
      <c r="C751">
        <v>6</v>
      </c>
      <c r="D751">
        <v>25</v>
      </c>
      <c r="E751">
        <v>99</v>
      </c>
      <c r="F751">
        <v>2</v>
      </c>
      <c r="G751" t="s">
        <v>112</v>
      </c>
      <c r="H751">
        <v>5</v>
      </c>
      <c r="I751" t="s">
        <v>112</v>
      </c>
      <c r="J751">
        <v>1350</v>
      </c>
      <c r="K751">
        <v>3375</v>
      </c>
      <c r="L751">
        <v>1</v>
      </c>
      <c r="M751">
        <v>909</v>
      </c>
      <c r="N751">
        <v>1364</v>
      </c>
      <c r="O751">
        <v>1</v>
      </c>
      <c r="P751">
        <v>177</v>
      </c>
      <c r="Q751">
        <v>266</v>
      </c>
      <c r="R751">
        <v>1</v>
      </c>
      <c r="S751">
        <v>4000000</v>
      </c>
      <c r="T751" t="s">
        <v>1340</v>
      </c>
      <c r="U751" t="s">
        <v>1341</v>
      </c>
      <c r="V751" t="s">
        <v>2277</v>
      </c>
      <c r="W751">
        <v>1162.5</v>
      </c>
      <c r="X751" t="b">
        <v>0</v>
      </c>
    </row>
    <row r="752" spans="1:24" x14ac:dyDescent="0.25">
      <c r="A752">
        <v>751</v>
      </c>
      <c r="B752" t="s">
        <v>1343</v>
      </c>
      <c r="C752">
        <v>5</v>
      </c>
      <c r="D752">
        <v>20</v>
      </c>
      <c r="E752">
        <v>50</v>
      </c>
      <c r="F752">
        <v>3</v>
      </c>
      <c r="G752" t="s">
        <v>112</v>
      </c>
      <c r="H752">
        <v>5</v>
      </c>
      <c r="I752" t="s">
        <v>112</v>
      </c>
      <c r="J752">
        <v>662</v>
      </c>
      <c r="K752">
        <v>1589</v>
      </c>
      <c r="L752">
        <v>1</v>
      </c>
      <c r="M752">
        <v>507</v>
      </c>
      <c r="N752">
        <v>1014</v>
      </c>
      <c r="O752">
        <v>1</v>
      </c>
      <c r="P752">
        <v>135</v>
      </c>
      <c r="Q752">
        <v>284</v>
      </c>
      <c r="R752">
        <v>1</v>
      </c>
      <c r="S752">
        <v>4000000</v>
      </c>
      <c r="T752" t="s">
        <v>1344</v>
      </c>
      <c r="U752" t="s">
        <v>1345</v>
      </c>
      <c r="W752">
        <v>937.5</v>
      </c>
      <c r="X752" t="b">
        <v>0</v>
      </c>
    </row>
    <row r="753" spans="1:24" x14ac:dyDescent="0.25">
      <c r="A753">
        <v>752</v>
      </c>
      <c r="B753" t="s">
        <v>1346</v>
      </c>
      <c r="C753">
        <v>6</v>
      </c>
      <c r="D753">
        <v>25</v>
      </c>
      <c r="E753">
        <v>99</v>
      </c>
      <c r="F753">
        <v>3</v>
      </c>
      <c r="G753" t="s">
        <v>112</v>
      </c>
      <c r="H753">
        <v>5</v>
      </c>
      <c r="I753" t="s">
        <v>112</v>
      </c>
      <c r="J753">
        <v>1271</v>
      </c>
      <c r="K753">
        <v>3178</v>
      </c>
      <c r="L753">
        <v>1</v>
      </c>
      <c r="M753">
        <v>913</v>
      </c>
      <c r="N753">
        <v>1370</v>
      </c>
      <c r="O753">
        <v>1</v>
      </c>
      <c r="P753">
        <v>256</v>
      </c>
      <c r="Q753">
        <v>384</v>
      </c>
      <c r="R753">
        <v>1</v>
      </c>
      <c r="S753">
        <v>4000000</v>
      </c>
      <c r="T753" t="s">
        <v>1344</v>
      </c>
      <c r="U753" t="s">
        <v>1345</v>
      </c>
      <c r="V753" t="s">
        <v>2278</v>
      </c>
      <c r="W753">
        <v>1162.5</v>
      </c>
      <c r="X753" t="b">
        <v>0</v>
      </c>
    </row>
    <row r="754" spans="1:24" x14ac:dyDescent="0.25">
      <c r="A754">
        <v>753</v>
      </c>
      <c r="B754" t="s">
        <v>1347</v>
      </c>
      <c r="C754">
        <v>5</v>
      </c>
      <c r="D754">
        <v>20</v>
      </c>
      <c r="E754">
        <v>50</v>
      </c>
      <c r="F754">
        <v>4</v>
      </c>
      <c r="G754" t="s">
        <v>112</v>
      </c>
      <c r="H754">
        <v>5</v>
      </c>
      <c r="I754" t="s">
        <v>112</v>
      </c>
      <c r="J754">
        <v>665</v>
      </c>
      <c r="K754">
        <v>1596</v>
      </c>
      <c r="L754">
        <v>1</v>
      </c>
      <c r="M754">
        <v>515</v>
      </c>
      <c r="N754">
        <v>1030</v>
      </c>
      <c r="O754">
        <v>1</v>
      </c>
      <c r="P754">
        <v>109</v>
      </c>
      <c r="Q754">
        <v>229</v>
      </c>
      <c r="R754">
        <v>1</v>
      </c>
      <c r="S754">
        <v>4000000</v>
      </c>
      <c r="T754" t="s">
        <v>1348</v>
      </c>
      <c r="U754" t="s">
        <v>1349</v>
      </c>
      <c r="W754">
        <v>937.5</v>
      </c>
      <c r="X754" t="b">
        <v>0</v>
      </c>
    </row>
    <row r="755" spans="1:24" x14ac:dyDescent="0.25">
      <c r="A755">
        <v>754</v>
      </c>
      <c r="B755" t="s">
        <v>1350</v>
      </c>
      <c r="C755">
        <v>6</v>
      </c>
      <c r="D755">
        <v>25</v>
      </c>
      <c r="E755">
        <v>99</v>
      </c>
      <c r="F755">
        <v>4</v>
      </c>
      <c r="G755" t="s">
        <v>112</v>
      </c>
      <c r="H755">
        <v>5</v>
      </c>
      <c r="I755" t="s">
        <v>112</v>
      </c>
      <c r="J755">
        <v>1277</v>
      </c>
      <c r="K755">
        <v>3193</v>
      </c>
      <c r="L755">
        <v>1</v>
      </c>
      <c r="M755">
        <v>927</v>
      </c>
      <c r="N755">
        <v>1391</v>
      </c>
      <c r="O755">
        <v>1</v>
      </c>
      <c r="P755">
        <v>206</v>
      </c>
      <c r="Q755">
        <v>309</v>
      </c>
      <c r="R755">
        <v>1</v>
      </c>
      <c r="S755">
        <v>4000000</v>
      </c>
      <c r="T755" t="s">
        <v>1348</v>
      </c>
      <c r="U755" t="s">
        <v>1349</v>
      </c>
      <c r="V755" t="s">
        <v>2279</v>
      </c>
      <c r="W755">
        <v>1162.5</v>
      </c>
      <c r="X755" t="b">
        <v>0</v>
      </c>
    </row>
    <row r="756" spans="1:24" x14ac:dyDescent="0.25">
      <c r="A756">
        <v>755</v>
      </c>
      <c r="B756" t="s">
        <v>1351</v>
      </c>
      <c r="C756">
        <v>7</v>
      </c>
      <c r="D756">
        <v>35</v>
      </c>
      <c r="E756">
        <v>99</v>
      </c>
      <c r="F756">
        <v>0</v>
      </c>
      <c r="G756">
        <v>3</v>
      </c>
      <c r="H756">
        <v>5</v>
      </c>
      <c r="I756">
        <v>4</v>
      </c>
      <c r="J756">
        <v>1230</v>
      </c>
      <c r="K756">
        <v>3120</v>
      </c>
      <c r="L756">
        <v>1.5</v>
      </c>
      <c r="M756">
        <v>743</v>
      </c>
      <c r="N756">
        <v>1410</v>
      </c>
      <c r="O756">
        <v>1.5</v>
      </c>
      <c r="P756">
        <v>195</v>
      </c>
      <c r="Q756">
        <v>451</v>
      </c>
      <c r="R756">
        <v>1.5</v>
      </c>
      <c r="S756">
        <v>4000000</v>
      </c>
      <c r="T756" t="s">
        <v>331</v>
      </c>
      <c r="U756" t="s">
        <v>332</v>
      </c>
      <c r="V756" t="s">
        <v>2157</v>
      </c>
      <c r="W756">
        <v>1575</v>
      </c>
      <c r="X756" t="b">
        <v>0</v>
      </c>
    </row>
    <row r="757" spans="1:24" x14ac:dyDescent="0.25">
      <c r="A757">
        <v>756</v>
      </c>
      <c r="B757" t="s">
        <v>1352</v>
      </c>
      <c r="C757">
        <v>7</v>
      </c>
      <c r="D757">
        <v>35</v>
      </c>
      <c r="E757">
        <v>99</v>
      </c>
      <c r="F757">
        <v>0</v>
      </c>
      <c r="G757">
        <v>4</v>
      </c>
      <c r="H757">
        <v>5</v>
      </c>
      <c r="I757">
        <v>6</v>
      </c>
      <c r="J757">
        <v>1230</v>
      </c>
      <c r="K757">
        <v>2620</v>
      </c>
      <c r="L757">
        <v>1.5</v>
      </c>
      <c r="M757">
        <v>743</v>
      </c>
      <c r="N757">
        <v>2014</v>
      </c>
      <c r="O757">
        <v>1.5</v>
      </c>
      <c r="P757">
        <v>195</v>
      </c>
      <c r="Q757">
        <v>236</v>
      </c>
      <c r="R757">
        <v>1.5</v>
      </c>
      <c r="S757">
        <v>4000000</v>
      </c>
      <c r="T757" t="s">
        <v>331</v>
      </c>
      <c r="U757" t="s">
        <v>332</v>
      </c>
      <c r="V757" t="s">
        <v>2157</v>
      </c>
      <c r="W757">
        <v>1575</v>
      </c>
      <c r="X757" t="b">
        <v>0</v>
      </c>
    </row>
    <row r="758" spans="1:24" x14ac:dyDescent="0.25">
      <c r="A758">
        <v>757</v>
      </c>
      <c r="B758" t="s">
        <v>1353</v>
      </c>
      <c r="C758">
        <v>6</v>
      </c>
      <c r="D758">
        <v>30</v>
      </c>
      <c r="E758">
        <v>99</v>
      </c>
      <c r="F758">
        <v>0</v>
      </c>
      <c r="G758">
        <v>2</v>
      </c>
      <c r="H758">
        <v>4</v>
      </c>
      <c r="I758">
        <v>6</v>
      </c>
      <c r="J758">
        <v>580</v>
      </c>
      <c r="K758">
        <v>2196</v>
      </c>
      <c r="L758">
        <v>1</v>
      </c>
      <c r="M758">
        <v>336</v>
      </c>
      <c r="N758">
        <v>940</v>
      </c>
      <c r="O758">
        <v>1</v>
      </c>
      <c r="P758">
        <v>162</v>
      </c>
      <c r="Q758">
        <v>454</v>
      </c>
      <c r="R758">
        <v>1</v>
      </c>
      <c r="S758">
        <v>3000000</v>
      </c>
      <c r="T758" t="s">
        <v>556</v>
      </c>
      <c r="U758" t="s">
        <v>552</v>
      </c>
      <c r="V758" t="s">
        <v>555</v>
      </c>
      <c r="W758">
        <v>1350</v>
      </c>
      <c r="X758" t="b">
        <v>0</v>
      </c>
    </row>
    <row r="759" spans="1:24" x14ac:dyDescent="0.25">
      <c r="A759">
        <v>758</v>
      </c>
      <c r="B759" t="s">
        <v>1354</v>
      </c>
      <c r="C759">
        <v>6</v>
      </c>
      <c r="D759">
        <v>30</v>
      </c>
      <c r="E759">
        <v>99</v>
      </c>
      <c r="F759">
        <v>1</v>
      </c>
      <c r="G759">
        <v>0</v>
      </c>
      <c r="H759">
        <v>4</v>
      </c>
      <c r="I759">
        <v>2</v>
      </c>
      <c r="J759">
        <v>593</v>
      </c>
      <c r="K759">
        <v>2495</v>
      </c>
      <c r="L759">
        <v>1</v>
      </c>
      <c r="M759">
        <v>345</v>
      </c>
      <c r="N759">
        <v>863</v>
      </c>
      <c r="O759">
        <v>1</v>
      </c>
      <c r="P759">
        <v>155</v>
      </c>
      <c r="Q759">
        <v>440</v>
      </c>
      <c r="R759">
        <v>1</v>
      </c>
      <c r="S759">
        <v>3000000</v>
      </c>
      <c r="T759" t="s">
        <v>562</v>
      </c>
      <c r="U759" t="s">
        <v>189</v>
      </c>
      <c r="V759" t="s">
        <v>561</v>
      </c>
      <c r="W759">
        <v>1350</v>
      </c>
      <c r="X759" t="b">
        <v>0</v>
      </c>
    </row>
    <row r="760" spans="1:24" x14ac:dyDescent="0.25">
      <c r="A760">
        <v>759</v>
      </c>
      <c r="B760" t="s">
        <v>1355</v>
      </c>
      <c r="C760">
        <v>6</v>
      </c>
      <c r="D760">
        <v>30</v>
      </c>
      <c r="E760">
        <v>99</v>
      </c>
      <c r="F760">
        <v>2</v>
      </c>
      <c r="G760">
        <v>1</v>
      </c>
      <c r="H760">
        <v>4</v>
      </c>
      <c r="I760">
        <v>1</v>
      </c>
      <c r="J760">
        <v>649</v>
      </c>
      <c r="K760">
        <v>2451</v>
      </c>
      <c r="L760">
        <v>1</v>
      </c>
      <c r="M760">
        <v>324</v>
      </c>
      <c r="N760">
        <v>860</v>
      </c>
      <c r="O760">
        <v>1</v>
      </c>
      <c r="P760">
        <v>149</v>
      </c>
      <c r="Q760">
        <v>478</v>
      </c>
      <c r="R760">
        <v>1</v>
      </c>
      <c r="S760">
        <v>3000000</v>
      </c>
      <c r="T760" t="s">
        <v>568</v>
      </c>
      <c r="U760" t="s">
        <v>501</v>
      </c>
      <c r="V760" t="s">
        <v>567</v>
      </c>
      <c r="W760">
        <v>1350</v>
      </c>
      <c r="X760" t="b">
        <v>0</v>
      </c>
    </row>
    <row r="761" spans="1:24" x14ac:dyDescent="0.25">
      <c r="A761">
        <v>760</v>
      </c>
      <c r="B761" t="s">
        <v>1356</v>
      </c>
      <c r="C761">
        <v>6</v>
      </c>
      <c r="D761">
        <v>30</v>
      </c>
      <c r="E761">
        <v>99</v>
      </c>
      <c r="F761">
        <v>3</v>
      </c>
      <c r="G761">
        <v>2</v>
      </c>
      <c r="H761">
        <v>4</v>
      </c>
      <c r="I761">
        <v>3</v>
      </c>
      <c r="J761">
        <v>588</v>
      </c>
      <c r="K761">
        <v>2226</v>
      </c>
      <c r="L761">
        <v>1</v>
      </c>
      <c r="M761">
        <v>313</v>
      </c>
      <c r="N761">
        <v>783</v>
      </c>
      <c r="O761">
        <v>1</v>
      </c>
      <c r="P761">
        <v>180</v>
      </c>
      <c r="Q761">
        <v>540</v>
      </c>
      <c r="R761">
        <v>1</v>
      </c>
      <c r="S761">
        <v>3000000</v>
      </c>
      <c r="T761" t="s">
        <v>574</v>
      </c>
      <c r="U761" t="s">
        <v>195</v>
      </c>
      <c r="V761" t="s">
        <v>573</v>
      </c>
      <c r="W761">
        <v>1350</v>
      </c>
      <c r="X761" t="b">
        <v>0</v>
      </c>
    </row>
    <row r="762" spans="1:24" x14ac:dyDescent="0.25">
      <c r="A762">
        <v>761</v>
      </c>
      <c r="B762" t="s">
        <v>1357</v>
      </c>
      <c r="C762">
        <v>6</v>
      </c>
      <c r="D762">
        <v>30</v>
      </c>
      <c r="E762">
        <v>99</v>
      </c>
      <c r="F762">
        <v>4</v>
      </c>
      <c r="G762">
        <v>1</v>
      </c>
      <c r="H762">
        <v>4</v>
      </c>
      <c r="I762">
        <v>7</v>
      </c>
      <c r="J762">
        <v>565</v>
      </c>
      <c r="K762">
        <v>2241</v>
      </c>
      <c r="L762">
        <v>1</v>
      </c>
      <c r="M762">
        <v>333</v>
      </c>
      <c r="N762">
        <v>833</v>
      </c>
      <c r="O762">
        <v>1</v>
      </c>
      <c r="P762">
        <v>171</v>
      </c>
      <c r="Q762">
        <v>472</v>
      </c>
      <c r="R762">
        <v>1</v>
      </c>
      <c r="S762">
        <v>3000000</v>
      </c>
      <c r="T762" t="s">
        <v>581</v>
      </c>
      <c r="U762" t="s">
        <v>577</v>
      </c>
      <c r="V762" t="s">
        <v>580</v>
      </c>
      <c r="W762">
        <v>1350</v>
      </c>
      <c r="X762" t="b">
        <v>0</v>
      </c>
    </row>
    <row r="763" spans="1:24" x14ac:dyDescent="0.25">
      <c r="A763">
        <v>762</v>
      </c>
      <c r="B763" t="s">
        <v>1358</v>
      </c>
      <c r="C763">
        <v>3</v>
      </c>
      <c r="D763">
        <v>5</v>
      </c>
      <c r="E763">
        <v>25</v>
      </c>
      <c r="F763">
        <v>0</v>
      </c>
      <c r="G763" t="s">
        <v>112</v>
      </c>
      <c r="H763">
        <v>2</v>
      </c>
      <c r="I763" t="s">
        <v>112</v>
      </c>
      <c r="J763">
        <v>350</v>
      </c>
      <c r="K763">
        <v>1575</v>
      </c>
      <c r="L763">
        <v>1</v>
      </c>
      <c r="M763">
        <v>32</v>
      </c>
      <c r="N763">
        <v>144</v>
      </c>
      <c r="O763">
        <v>1</v>
      </c>
      <c r="P763">
        <v>35</v>
      </c>
      <c r="Q763">
        <v>74</v>
      </c>
      <c r="R763">
        <v>1</v>
      </c>
      <c r="S763">
        <v>1500000</v>
      </c>
      <c r="T763" t="s">
        <v>1359</v>
      </c>
      <c r="U763" t="s">
        <v>112</v>
      </c>
      <c r="W763">
        <v>300</v>
      </c>
      <c r="X763" t="b">
        <v>0</v>
      </c>
    </row>
    <row r="764" spans="1:24" x14ac:dyDescent="0.25">
      <c r="A764">
        <v>763</v>
      </c>
      <c r="B764" t="s">
        <v>1360</v>
      </c>
      <c r="C764">
        <v>4</v>
      </c>
      <c r="D764">
        <v>10</v>
      </c>
      <c r="E764">
        <v>70</v>
      </c>
      <c r="F764">
        <v>0</v>
      </c>
      <c r="G764" t="s">
        <v>112</v>
      </c>
      <c r="H764">
        <v>2</v>
      </c>
      <c r="I764" t="s">
        <v>112</v>
      </c>
      <c r="J764">
        <v>1260</v>
      </c>
      <c r="K764">
        <v>3150</v>
      </c>
      <c r="L764">
        <v>1</v>
      </c>
      <c r="M764">
        <v>130</v>
      </c>
      <c r="N764">
        <v>325</v>
      </c>
      <c r="O764">
        <v>1</v>
      </c>
      <c r="P764">
        <v>67</v>
      </c>
      <c r="Q764">
        <v>141</v>
      </c>
      <c r="R764">
        <v>1</v>
      </c>
      <c r="S764">
        <v>3000000</v>
      </c>
      <c r="T764" t="s">
        <v>1359</v>
      </c>
      <c r="U764" t="s">
        <v>1068</v>
      </c>
      <c r="V764" t="s">
        <v>2603</v>
      </c>
      <c r="W764">
        <v>525</v>
      </c>
      <c r="X764" t="b">
        <v>0</v>
      </c>
    </row>
    <row r="765" spans="1:24" x14ac:dyDescent="0.25">
      <c r="A765">
        <v>764</v>
      </c>
      <c r="B765" t="s">
        <v>1361</v>
      </c>
      <c r="C765">
        <v>3</v>
      </c>
      <c r="D765">
        <v>5</v>
      </c>
      <c r="E765">
        <v>25</v>
      </c>
      <c r="F765">
        <v>1</v>
      </c>
      <c r="G765" t="s">
        <v>112</v>
      </c>
      <c r="H765">
        <v>1</v>
      </c>
      <c r="I765" t="s">
        <v>112</v>
      </c>
      <c r="J765">
        <v>206</v>
      </c>
      <c r="K765">
        <v>927</v>
      </c>
      <c r="L765">
        <v>1</v>
      </c>
      <c r="M765">
        <v>85</v>
      </c>
      <c r="N765">
        <v>383</v>
      </c>
      <c r="O765">
        <v>1</v>
      </c>
      <c r="P765">
        <v>52</v>
      </c>
      <c r="Q765">
        <v>109</v>
      </c>
      <c r="R765">
        <v>1</v>
      </c>
      <c r="S765">
        <v>1500000</v>
      </c>
      <c r="T765" t="s">
        <v>1362</v>
      </c>
      <c r="U765" t="s">
        <v>112</v>
      </c>
      <c r="W765">
        <v>300</v>
      </c>
      <c r="X765" t="b">
        <v>0</v>
      </c>
    </row>
    <row r="766" spans="1:24" x14ac:dyDescent="0.25">
      <c r="A766">
        <v>765</v>
      </c>
      <c r="B766" t="s">
        <v>1363</v>
      </c>
      <c r="C766">
        <v>4</v>
      </c>
      <c r="D766">
        <v>10</v>
      </c>
      <c r="E766">
        <v>70</v>
      </c>
      <c r="F766">
        <v>1</v>
      </c>
      <c r="G766" t="s">
        <v>112</v>
      </c>
      <c r="H766">
        <v>1</v>
      </c>
      <c r="I766" t="s">
        <v>112</v>
      </c>
      <c r="J766">
        <v>742</v>
      </c>
      <c r="K766">
        <v>1855</v>
      </c>
      <c r="L766">
        <v>1</v>
      </c>
      <c r="M766">
        <v>345</v>
      </c>
      <c r="N766">
        <v>863</v>
      </c>
      <c r="O766">
        <v>1</v>
      </c>
      <c r="P766">
        <v>98</v>
      </c>
      <c r="Q766">
        <v>206</v>
      </c>
      <c r="R766">
        <v>1</v>
      </c>
      <c r="S766">
        <v>3000000</v>
      </c>
      <c r="T766" t="s">
        <v>1362</v>
      </c>
      <c r="U766" t="s">
        <v>708</v>
      </c>
      <c r="V766" t="s">
        <v>2604</v>
      </c>
      <c r="W766">
        <v>525</v>
      </c>
      <c r="X766" t="b">
        <v>0</v>
      </c>
    </row>
    <row r="767" spans="1:24" x14ac:dyDescent="0.25">
      <c r="A767">
        <v>766</v>
      </c>
      <c r="B767" t="s">
        <v>1364</v>
      </c>
      <c r="C767">
        <v>3</v>
      </c>
      <c r="D767">
        <v>5</v>
      </c>
      <c r="E767">
        <v>25</v>
      </c>
      <c r="F767">
        <v>2</v>
      </c>
      <c r="G767" t="s">
        <v>112</v>
      </c>
      <c r="H767">
        <v>6</v>
      </c>
      <c r="I767" t="s">
        <v>112</v>
      </c>
      <c r="J767">
        <v>118</v>
      </c>
      <c r="K767">
        <v>531</v>
      </c>
      <c r="L767">
        <v>1</v>
      </c>
      <c r="M767">
        <v>138</v>
      </c>
      <c r="N767">
        <v>621</v>
      </c>
      <c r="O767">
        <v>1</v>
      </c>
      <c r="P767">
        <v>31</v>
      </c>
      <c r="Q767">
        <v>65</v>
      </c>
      <c r="R767">
        <v>1</v>
      </c>
      <c r="S767">
        <v>1500000</v>
      </c>
      <c r="T767" t="s">
        <v>1365</v>
      </c>
      <c r="U767" t="s">
        <v>112</v>
      </c>
      <c r="W767">
        <v>300</v>
      </c>
      <c r="X767" t="b">
        <v>0</v>
      </c>
    </row>
    <row r="768" spans="1:24" x14ac:dyDescent="0.25">
      <c r="A768">
        <v>767</v>
      </c>
      <c r="B768" t="s">
        <v>1366</v>
      </c>
      <c r="C768">
        <v>4</v>
      </c>
      <c r="D768">
        <v>10</v>
      </c>
      <c r="E768">
        <v>70</v>
      </c>
      <c r="F768">
        <v>2</v>
      </c>
      <c r="G768" t="s">
        <v>112</v>
      </c>
      <c r="H768">
        <v>6</v>
      </c>
      <c r="I768" t="s">
        <v>112</v>
      </c>
      <c r="J768">
        <v>425</v>
      </c>
      <c r="K768">
        <v>1063</v>
      </c>
      <c r="L768">
        <v>1</v>
      </c>
      <c r="M768">
        <v>559</v>
      </c>
      <c r="N768">
        <v>1398</v>
      </c>
      <c r="O768">
        <v>1</v>
      </c>
      <c r="P768">
        <v>59</v>
      </c>
      <c r="Q768">
        <v>124</v>
      </c>
      <c r="R768">
        <v>1</v>
      </c>
      <c r="S768">
        <v>3000000</v>
      </c>
      <c r="T768" t="s">
        <v>1365</v>
      </c>
      <c r="U768" t="s">
        <v>1076</v>
      </c>
      <c r="V768" t="s">
        <v>2605</v>
      </c>
      <c r="W768">
        <v>525</v>
      </c>
      <c r="X768" t="b">
        <v>0</v>
      </c>
    </row>
    <row r="769" spans="1:24" x14ac:dyDescent="0.25">
      <c r="A769">
        <v>768</v>
      </c>
      <c r="B769" t="s">
        <v>1367</v>
      </c>
      <c r="C769">
        <v>5</v>
      </c>
      <c r="D769">
        <v>40</v>
      </c>
      <c r="E769">
        <v>50</v>
      </c>
      <c r="F769">
        <v>3</v>
      </c>
      <c r="G769" t="s">
        <v>112</v>
      </c>
      <c r="H769">
        <v>1</v>
      </c>
      <c r="I769" t="s">
        <v>112</v>
      </c>
      <c r="J769">
        <v>256</v>
      </c>
      <c r="K769">
        <v>1152</v>
      </c>
      <c r="L769">
        <v>1</v>
      </c>
      <c r="M769">
        <v>119</v>
      </c>
      <c r="N769">
        <v>536</v>
      </c>
      <c r="O769">
        <v>1</v>
      </c>
      <c r="P769">
        <v>92</v>
      </c>
      <c r="Q769">
        <v>193</v>
      </c>
      <c r="R769">
        <v>1</v>
      </c>
      <c r="S769">
        <v>4000000</v>
      </c>
      <c r="T769" t="s">
        <v>1368</v>
      </c>
      <c r="U769" t="s">
        <v>1369</v>
      </c>
      <c r="W769">
        <v>1687.5</v>
      </c>
      <c r="X769" t="b">
        <v>0</v>
      </c>
    </row>
    <row r="770" spans="1:24" x14ac:dyDescent="0.25">
      <c r="A770">
        <v>769</v>
      </c>
      <c r="B770" t="s">
        <v>1370</v>
      </c>
      <c r="C770">
        <v>6</v>
      </c>
      <c r="D770">
        <v>50</v>
      </c>
      <c r="E770">
        <v>99</v>
      </c>
      <c r="F770">
        <v>3</v>
      </c>
      <c r="G770" t="s">
        <v>112</v>
      </c>
      <c r="H770">
        <v>1</v>
      </c>
      <c r="I770" t="s">
        <v>112</v>
      </c>
      <c r="J770">
        <v>922</v>
      </c>
      <c r="K770">
        <v>2305</v>
      </c>
      <c r="L770">
        <v>1</v>
      </c>
      <c r="M770">
        <v>482</v>
      </c>
      <c r="N770">
        <v>1205</v>
      </c>
      <c r="O770">
        <v>1</v>
      </c>
      <c r="P770">
        <v>174</v>
      </c>
      <c r="Q770">
        <v>365</v>
      </c>
      <c r="R770">
        <v>1</v>
      </c>
      <c r="S770">
        <v>4000000</v>
      </c>
      <c r="T770" t="s">
        <v>1368</v>
      </c>
      <c r="U770" t="s">
        <v>1369</v>
      </c>
      <c r="V770" t="s">
        <v>2606</v>
      </c>
      <c r="W770">
        <v>2100</v>
      </c>
      <c r="X770" t="b">
        <v>0</v>
      </c>
    </row>
    <row r="771" spans="1:24" x14ac:dyDescent="0.25">
      <c r="A771">
        <v>770</v>
      </c>
      <c r="B771" t="s">
        <v>1371</v>
      </c>
      <c r="C771">
        <v>4</v>
      </c>
      <c r="D771">
        <v>15</v>
      </c>
      <c r="E771">
        <v>50</v>
      </c>
      <c r="F771">
        <v>4</v>
      </c>
      <c r="G771" t="s">
        <v>112</v>
      </c>
      <c r="H771">
        <v>2</v>
      </c>
      <c r="I771" t="s">
        <v>112</v>
      </c>
      <c r="J771">
        <v>366</v>
      </c>
      <c r="K771">
        <v>1647</v>
      </c>
      <c r="L771">
        <v>1</v>
      </c>
      <c r="M771">
        <v>75</v>
      </c>
      <c r="N771">
        <v>338</v>
      </c>
      <c r="O771">
        <v>1</v>
      </c>
      <c r="P771">
        <v>99</v>
      </c>
      <c r="Q771">
        <v>208</v>
      </c>
      <c r="R771">
        <v>1</v>
      </c>
      <c r="S771">
        <v>1500000</v>
      </c>
      <c r="T771" t="s">
        <v>1372</v>
      </c>
      <c r="U771" t="s">
        <v>1373</v>
      </c>
      <c r="W771">
        <v>712.5</v>
      </c>
      <c r="X771" t="b">
        <v>0</v>
      </c>
    </row>
    <row r="772" spans="1:24" x14ac:dyDescent="0.25">
      <c r="A772">
        <v>771</v>
      </c>
      <c r="B772" t="s">
        <v>1374</v>
      </c>
      <c r="C772">
        <v>5</v>
      </c>
      <c r="D772">
        <v>20</v>
      </c>
      <c r="E772">
        <v>99</v>
      </c>
      <c r="F772">
        <v>4</v>
      </c>
      <c r="G772" t="s">
        <v>112</v>
      </c>
      <c r="H772">
        <v>2</v>
      </c>
      <c r="I772" t="s">
        <v>112</v>
      </c>
      <c r="J772">
        <v>1318</v>
      </c>
      <c r="K772">
        <v>3295</v>
      </c>
      <c r="L772">
        <v>1</v>
      </c>
      <c r="M772">
        <v>304</v>
      </c>
      <c r="N772">
        <v>760</v>
      </c>
      <c r="O772">
        <v>1</v>
      </c>
      <c r="P772">
        <v>187</v>
      </c>
      <c r="Q772">
        <v>393</v>
      </c>
      <c r="R772">
        <v>1</v>
      </c>
      <c r="S772">
        <v>3000000</v>
      </c>
      <c r="T772" t="s">
        <v>1372</v>
      </c>
      <c r="U772" t="s">
        <v>1373</v>
      </c>
      <c r="V772" t="s">
        <v>1532</v>
      </c>
      <c r="W772">
        <v>937.5</v>
      </c>
      <c r="X772" t="b">
        <v>0</v>
      </c>
    </row>
    <row r="773" spans="1:24" x14ac:dyDescent="0.25">
      <c r="A773">
        <v>772</v>
      </c>
      <c r="B773" t="s">
        <v>1375</v>
      </c>
      <c r="C773">
        <v>7</v>
      </c>
      <c r="D773">
        <v>60</v>
      </c>
      <c r="E773">
        <v>99</v>
      </c>
      <c r="F773">
        <v>0</v>
      </c>
      <c r="G773">
        <v>1</v>
      </c>
      <c r="H773">
        <v>4</v>
      </c>
      <c r="I773">
        <v>6</v>
      </c>
      <c r="J773">
        <v>316</v>
      </c>
      <c r="K773">
        <v>1612</v>
      </c>
      <c r="L773">
        <v>1.5</v>
      </c>
      <c r="M773">
        <v>443</v>
      </c>
      <c r="N773">
        <v>1916</v>
      </c>
      <c r="O773">
        <v>1.5</v>
      </c>
      <c r="P773">
        <v>122</v>
      </c>
      <c r="Q773">
        <v>244</v>
      </c>
      <c r="R773">
        <v>1.5</v>
      </c>
      <c r="S773">
        <v>4000000</v>
      </c>
      <c r="T773" t="s">
        <v>121</v>
      </c>
      <c r="U773" t="s">
        <v>454</v>
      </c>
      <c r="V773" t="s">
        <v>350</v>
      </c>
      <c r="W773">
        <v>2512.5</v>
      </c>
      <c r="X773" t="b">
        <v>0</v>
      </c>
    </row>
    <row r="774" spans="1:24" x14ac:dyDescent="0.25">
      <c r="A774">
        <v>773</v>
      </c>
      <c r="B774" t="s">
        <v>1376</v>
      </c>
      <c r="C774">
        <v>7</v>
      </c>
      <c r="D774">
        <v>60</v>
      </c>
      <c r="E774">
        <v>99</v>
      </c>
      <c r="F774">
        <v>1</v>
      </c>
      <c r="G774">
        <v>4</v>
      </c>
      <c r="H774">
        <v>4</v>
      </c>
      <c r="I774">
        <v>6</v>
      </c>
      <c r="J774">
        <v>310</v>
      </c>
      <c r="K774">
        <v>1581</v>
      </c>
      <c r="L774">
        <v>1.5</v>
      </c>
      <c r="M774">
        <v>453</v>
      </c>
      <c r="N774">
        <v>1957</v>
      </c>
      <c r="O774">
        <v>1.5</v>
      </c>
      <c r="P774">
        <v>113</v>
      </c>
      <c r="Q774">
        <v>226</v>
      </c>
      <c r="R774">
        <v>1.5</v>
      </c>
      <c r="S774">
        <v>4000000</v>
      </c>
      <c r="T774" t="s">
        <v>129</v>
      </c>
      <c r="U774" t="s">
        <v>455</v>
      </c>
      <c r="V774" t="s">
        <v>352</v>
      </c>
      <c r="W774">
        <v>2512.5</v>
      </c>
      <c r="X774" t="b">
        <v>0</v>
      </c>
    </row>
    <row r="775" spans="1:24" x14ac:dyDescent="0.25">
      <c r="A775">
        <v>774</v>
      </c>
      <c r="B775" t="s">
        <v>1377</v>
      </c>
      <c r="C775">
        <v>7</v>
      </c>
      <c r="D775">
        <v>60</v>
      </c>
      <c r="E775">
        <v>99</v>
      </c>
      <c r="F775">
        <v>2</v>
      </c>
      <c r="G775">
        <v>0</v>
      </c>
      <c r="H775">
        <v>4</v>
      </c>
      <c r="I775">
        <v>6</v>
      </c>
      <c r="J775">
        <v>321</v>
      </c>
      <c r="K775">
        <v>1637</v>
      </c>
      <c r="L775">
        <v>1.5</v>
      </c>
      <c r="M775">
        <v>440</v>
      </c>
      <c r="N775">
        <v>1904</v>
      </c>
      <c r="O775">
        <v>1.5</v>
      </c>
      <c r="P775">
        <v>125</v>
      </c>
      <c r="Q775">
        <v>250</v>
      </c>
      <c r="R775">
        <v>1.5</v>
      </c>
      <c r="S775">
        <v>4000000</v>
      </c>
      <c r="T775" t="s">
        <v>137</v>
      </c>
      <c r="U775" t="s">
        <v>456</v>
      </c>
      <c r="V775" t="s">
        <v>354</v>
      </c>
      <c r="W775">
        <v>2512.5</v>
      </c>
      <c r="X775" t="b">
        <v>0</v>
      </c>
    </row>
    <row r="776" spans="1:24" x14ac:dyDescent="0.25">
      <c r="A776">
        <v>775</v>
      </c>
      <c r="B776" t="s">
        <v>1378</v>
      </c>
      <c r="C776">
        <v>7</v>
      </c>
      <c r="D776">
        <v>60</v>
      </c>
      <c r="E776">
        <v>99</v>
      </c>
      <c r="F776">
        <v>3</v>
      </c>
      <c r="G776">
        <v>2</v>
      </c>
      <c r="H776">
        <v>4</v>
      </c>
      <c r="I776">
        <v>6</v>
      </c>
      <c r="J776">
        <v>309</v>
      </c>
      <c r="K776">
        <v>1576</v>
      </c>
      <c r="L776">
        <v>1.5</v>
      </c>
      <c r="M776">
        <v>428</v>
      </c>
      <c r="N776">
        <v>1855</v>
      </c>
      <c r="O776">
        <v>1.5</v>
      </c>
      <c r="P776">
        <v>114</v>
      </c>
      <c r="Q776">
        <v>228</v>
      </c>
      <c r="R776">
        <v>1.5</v>
      </c>
      <c r="S776">
        <v>4000000</v>
      </c>
      <c r="T776" t="s">
        <v>145</v>
      </c>
      <c r="U776" t="s">
        <v>457</v>
      </c>
      <c r="V776" t="s">
        <v>356</v>
      </c>
      <c r="W776">
        <v>2512.5</v>
      </c>
      <c r="X776" t="b">
        <v>0</v>
      </c>
    </row>
    <row r="777" spans="1:24" x14ac:dyDescent="0.25">
      <c r="A777">
        <v>776</v>
      </c>
      <c r="B777" t="s">
        <v>1379</v>
      </c>
      <c r="C777">
        <v>7</v>
      </c>
      <c r="D777">
        <v>60</v>
      </c>
      <c r="E777">
        <v>99</v>
      </c>
      <c r="F777">
        <v>4</v>
      </c>
      <c r="G777">
        <v>3</v>
      </c>
      <c r="H777">
        <v>4</v>
      </c>
      <c r="I777">
        <v>6</v>
      </c>
      <c r="J777">
        <v>312</v>
      </c>
      <c r="K777">
        <v>1591</v>
      </c>
      <c r="L777">
        <v>1.5</v>
      </c>
      <c r="M777">
        <v>432</v>
      </c>
      <c r="N777">
        <v>1871</v>
      </c>
      <c r="O777">
        <v>1.5</v>
      </c>
      <c r="P777">
        <v>111</v>
      </c>
      <c r="Q777">
        <v>222</v>
      </c>
      <c r="R777">
        <v>1.5</v>
      </c>
      <c r="S777">
        <v>4000000</v>
      </c>
      <c r="T777" t="s">
        <v>153</v>
      </c>
      <c r="U777" t="s">
        <v>458</v>
      </c>
      <c r="V777" t="s">
        <v>358</v>
      </c>
      <c r="W777">
        <v>2512.5</v>
      </c>
      <c r="X777" t="b">
        <v>0</v>
      </c>
    </row>
    <row r="778" spans="1:24" x14ac:dyDescent="0.25">
      <c r="A778">
        <v>777</v>
      </c>
      <c r="B778" t="s">
        <v>1380</v>
      </c>
      <c r="C778">
        <v>5</v>
      </c>
      <c r="D778">
        <v>20</v>
      </c>
      <c r="E778">
        <v>50</v>
      </c>
      <c r="F778">
        <v>2</v>
      </c>
      <c r="G778" t="s">
        <v>112</v>
      </c>
      <c r="H778">
        <v>2</v>
      </c>
      <c r="I778" t="s">
        <v>112</v>
      </c>
      <c r="J778">
        <v>488</v>
      </c>
      <c r="K778">
        <v>1220</v>
      </c>
      <c r="L778">
        <v>1</v>
      </c>
      <c r="M778">
        <v>251</v>
      </c>
      <c r="N778">
        <v>628</v>
      </c>
      <c r="O778">
        <v>1</v>
      </c>
      <c r="P778">
        <v>0</v>
      </c>
      <c r="Q778">
        <v>0</v>
      </c>
      <c r="R778">
        <v>1</v>
      </c>
      <c r="S778">
        <v>4000000</v>
      </c>
      <c r="T778" t="s">
        <v>334</v>
      </c>
      <c r="U778" t="s">
        <v>1381</v>
      </c>
      <c r="W778">
        <v>937.5</v>
      </c>
      <c r="X778" t="b">
        <v>0</v>
      </c>
    </row>
    <row r="779" spans="1:24" x14ac:dyDescent="0.25">
      <c r="A779">
        <v>778</v>
      </c>
      <c r="B779" t="s">
        <v>1382</v>
      </c>
      <c r="C779">
        <v>6</v>
      </c>
      <c r="D779">
        <v>25</v>
      </c>
      <c r="E779">
        <v>99</v>
      </c>
      <c r="F779">
        <v>2</v>
      </c>
      <c r="G779" t="s">
        <v>112</v>
      </c>
      <c r="H779">
        <v>2</v>
      </c>
      <c r="I779" t="s">
        <v>112</v>
      </c>
      <c r="J779">
        <v>976</v>
      </c>
      <c r="K779">
        <v>3026</v>
      </c>
      <c r="L779">
        <v>1</v>
      </c>
      <c r="M779">
        <v>565</v>
      </c>
      <c r="N779">
        <v>1017</v>
      </c>
      <c r="O779">
        <v>1</v>
      </c>
      <c r="P779">
        <v>0</v>
      </c>
      <c r="Q779">
        <v>0</v>
      </c>
      <c r="R779">
        <v>1</v>
      </c>
      <c r="S779">
        <v>4000000</v>
      </c>
      <c r="T779" t="s">
        <v>334</v>
      </c>
      <c r="U779" t="s">
        <v>1381</v>
      </c>
      <c r="V779" t="s">
        <v>1383</v>
      </c>
      <c r="W779">
        <v>1162.5</v>
      </c>
      <c r="X779" t="b">
        <v>0</v>
      </c>
    </row>
    <row r="780" spans="1:24" x14ac:dyDescent="0.25">
      <c r="A780">
        <v>779</v>
      </c>
      <c r="B780" t="s">
        <v>1384</v>
      </c>
      <c r="C780">
        <v>2</v>
      </c>
      <c r="D780">
        <v>5</v>
      </c>
      <c r="E780">
        <v>30</v>
      </c>
      <c r="F780">
        <v>2</v>
      </c>
      <c r="G780" t="s">
        <v>112</v>
      </c>
      <c r="H780">
        <v>3</v>
      </c>
      <c r="I780" t="s">
        <v>112</v>
      </c>
      <c r="J780">
        <v>70</v>
      </c>
      <c r="K780">
        <v>443</v>
      </c>
      <c r="L780">
        <v>1</v>
      </c>
      <c r="M780">
        <v>33</v>
      </c>
      <c r="N780">
        <v>229</v>
      </c>
      <c r="O780">
        <v>1</v>
      </c>
      <c r="P780">
        <v>58</v>
      </c>
      <c r="Q780">
        <v>257</v>
      </c>
      <c r="R780">
        <v>1</v>
      </c>
      <c r="S780">
        <v>1500000</v>
      </c>
      <c r="T780" t="s">
        <v>112</v>
      </c>
      <c r="U780" t="s">
        <v>1049</v>
      </c>
      <c r="W780">
        <v>262.5</v>
      </c>
      <c r="X780" t="b">
        <v>0</v>
      </c>
    </row>
    <row r="781" spans="1:24" x14ac:dyDescent="0.25">
      <c r="A781">
        <v>780</v>
      </c>
      <c r="B781" t="s">
        <v>1385</v>
      </c>
      <c r="C781">
        <v>6</v>
      </c>
      <c r="D781">
        <v>50</v>
      </c>
      <c r="E781">
        <v>50</v>
      </c>
      <c r="F781">
        <v>3</v>
      </c>
      <c r="G781" t="s">
        <v>112</v>
      </c>
      <c r="H781">
        <v>5</v>
      </c>
      <c r="I781">
        <v>4</v>
      </c>
      <c r="J781">
        <v>772</v>
      </c>
      <c r="K781">
        <v>1853</v>
      </c>
      <c r="L781">
        <v>1</v>
      </c>
      <c r="M781">
        <v>656</v>
      </c>
      <c r="N781">
        <v>1312</v>
      </c>
      <c r="O781">
        <v>1</v>
      </c>
      <c r="P781">
        <v>55</v>
      </c>
      <c r="Q781">
        <v>116</v>
      </c>
      <c r="R781">
        <v>1</v>
      </c>
      <c r="S781">
        <v>5000000</v>
      </c>
      <c r="T781" t="s">
        <v>1386</v>
      </c>
      <c r="U781" t="s">
        <v>1345</v>
      </c>
      <c r="W781">
        <v>2100</v>
      </c>
      <c r="X781" t="b">
        <v>0</v>
      </c>
    </row>
    <row r="782" spans="1:24" x14ac:dyDescent="0.25">
      <c r="A782">
        <v>781</v>
      </c>
      <c r="B782" t="s">
        <v>1387</v>
      </c>
      <c r="C782">
        <v>7</v>
      </c>
      <c r="D782">
        <v>100</v>
      </c>
      <c r="E782">
        <v>99</v>
      </c>
      <c r="F782">
        <v>3</v>
      </c>
      <c r="G782" t="s">
        <v>112</v>
      </c>
      <c r="H782">
        <v>5</v>
      </c>
      <c r="I782">
        <v>4</v>
      </c>
      <c r="J782">
        <v>1482</v>
      </c>
      <c r="K782">
        <v>3705</v>
      </c>
      <c r="L782">
        <v>1</v>
      </c>
      <c r="M782">
        <v>1181</v>
      </c>
      <c r="N782">
        <v>1772</v>
      </c>
      <c r="O782">
        <v>1</v>
      </c>
      <c r="P782">
        <v>104</v>
      </c>
      <c r="Q782">
        <v>156</v>
      </c>
      <c r="R782">
        <v>1</v>
      </c>
      <c r="S782">
        <v>5000000</v>
      </c>
      <c r="T782" t="s">
        <v>1386</v>
      </c>
      <c r="U782" t="s">
        <v>1345</v>
      </c>
      <c r="V782" t="s">
        <v>928</v>
      </c>
      <c r="W782">
        <v>4012.5</v>
      </c>
      <c r="X782" t="b">
        <v>0</v>
      </c>
    </row>
    <row r="783" spans="1:24" x14ac:dyDescent="0.25">
      <c r="A783">
        <v>782</v>
      </c>
      <c r="B783" t="s">
        <v>1388</v>
      </c>
      <c r="C783">
        <v>6</v>
      </c>
      <c r="D783">
        <v>35</v>
      </c>
      <c r="E783">
        <v>99</v>
      </c>
      <c r="F783">
        <v>0</v>
      </c>
      <c r="G783" t="s">
        <v>112</v>
      </c>
      <c r="H783">
        <v>4</v>
      </c>
      <c r="I783" t="s">
        <v>112</v>
      </c>
      <c r="J783">
        <v>375</v>
      </c>
      <c r="K783">
        <v>2813</v>
      </c>
      <c r="L783">
        <v>1</v>
      </c>
      <c r="M783">
        <v>377</v>
      </c>
      <c r="N783">
        <v>1320</v>
      </c>
      <c r="O783">
        <v>1</v>
      </c>
      <c r="P783">
        <v>61</v>
      </c>
      <c r="Q783">
        <v>201</v>
      </c>
      <c r="R783">
        <v>1</v>
      </c>
      <c r="S783">
        <v>4000000</v>
      </c>
      <c r="T783" t="s">
        <v>1389</v>
      </c>
      <c r="U783" t="s">
        <v>1390</v>
      </c>
      <c r="V783" t="s">
        <v>350</v>
      </c>
      <c r="W783">
        <v>1537.5</v>
      </c>
      <c r="X783" t="b">
        <v>0</v>
      </c>
    </row>
    <row r="784" spans="1:24" x14ac:dyDescent="0.25">
      <c r="A784">
        <v>783</v>
      </c>
      <c r="B784" t="s">
        <v>1391</v>
      </c>
      <c r="C784">
        <v>6</v>
      </c>
      <c r="D784">
        <v>35</v>
      </c>
      <c r="E784">
        <v>99</v>
      </c>
      <c r="F784">
        <v>1</v>
      </c>
      <c r="G784" t="s">
        <v>112</v>
      </c>
      <c r="H784">
        <v>4</v>
      </c>
      <c r="I784" t="s">
        <v>112</v>
      </c>
      <c r="J784">
        <v>372</v>
      </c>
      <c r="K784">
        <v>2799</v>
      </c>
      <c r="L784">
        <v>1</v>
      </c>
      <c r="M784">
        <v>377</v>
      </c>
      <c r="N784">
        <v>956</v>
      </c>
      <c r="O784">
        <v>1</v>
      </c>
      <c r="P784">
        <v>63</v>
      </c>
      <c r="Q784">
        <v>208</v>
      </c>
      <c r="R784">
        <v>1</v>
      </c>
      <c r="S784">
        <v>4000000</v>
      </c>
      <c r="T784" t="s">
        <v>1392</v>
      </c>
      <c r="U784" t="s">
        <v>1390</v>
      </c>
      <c r="V784" t="s">
        <v>352</v>
      </c>
      <c r="W784">
        <v>1537.5</v>
      </c>
      <c r="X784" t="b">
        <v>0</v>
      </c>
    </row>
    <row r="785" spans="1:24" x14ac:dyDescent="0.25">
      <c r="A785">
        <v>784</v>
      </c>
      <c r="B785" t="s">
        <v>1393</v>
      </c>
      <c r="C785">
        <v>6</v>
      </c>
      <c r="D785">
        <v>35</v>
      </c>
      <c r="E785">
        <v>99</v>
      </c>
      <c r="F785">
        <v>2</v>
      </c>
      <c r="G785" t="s">
        <v>112</v>
      </c>
      <c r="H785">
        <v>4</v>
      </c>
      <c r="I785" t="s">
        <v>112</v>
      </c>
      <c r="J785">
        <v>371</v>
      </c>
      <c r="K785">
        <v>2795</v>
      </c>
      <c r="L785">
        <v>1</v>
      </c>
      <c r="M785">
        <v>379</v>
      </c>
      <c r="N785">
        <v>1327</v>
      </c>
      <c r="O785">
        <v>1</v>
      </c>
      <c r="P785">
        <v>62</v>
      </c>
      <c r="Q785">
        <v>205</v>
      </c>
      <c r="R785">
        <v>1</v>
      </c>
      <c r="S785">
        <v>4000000</v>
      </c>
      <c r="T785" t="s">
        <v>1394</v>
      </c>
      <c r="U785" t="s">
        <v>1390</v>
      </c>
      <c r="V785" t="s">
        <v>354</v>
      </c>
      <c r="W785">
        <v>1537.5</v>
      </c>
      <c r="X785" t="b">
        <v>0</v>
      </c>
    </row>
    <row r="786" spans="1:24" x14ac:dyDescent="0.25">
      <c r="A786">
        <v>785</v>
      </c>
      <c r="B786" t="s">
        <v>1395</v>
      </c>
      <c r="C786">
        <v>6</v>
      </c>
      <c r="D786">
        <v>35</v>
      </c>
      <c r="E786">
        <v>99</v>
      </c>
      <c r="F786">
        <v>3</v>
      </c>
      <c r="G786" t="s">
        <v>112</v>
      </c>
      <c r="H786">
        <v>4</v>
      </c>
      <c r="I786" t="s">
        <v>112</v>
      </c>
      <c r="J786">
        <v>352</v>
      </c>
      <c r="K786">
        <v>2709</v>
      </c>
      <c r="L786">
        <v>1</v>
      </c>
      <c r="M786">
        <v>374</v>
      </c>
      <c r="N786">
        <v>1309</v>
      </c>
      <c r="O786">
        <v>1</v>
      </c>
      <c r="P786">
        <v>64</v>
      </c>
      <c r="Q786">
        <v>311</v>
      </c>
      <c r="R786">
        <v>1</v>
      </c>
      <c r="S786">
        <v>4000000</v>
      </c>
      <c r="T786" t="s">
        <v>1396</v>
      </c>
      <c r="U786" t="s">
        <v>1390</v>
      </c>
      <c r="V786" t="s">
        <v>356</v>
      </c>
      <c r="W786">
        <v>1537.5</v>
      </c>
      <c r="X786" t="b">
        <v>0</v>
      </c>
    </row>
    <row r="787" spans="1:24" x14ac:dyDescent="0.25">
      <c r="A787">
        <v>786</v>
      </c>
      <c r="B787" t="s">
        <v>1397</v>
      </c>
      <c r="C787">
        <v>6</v>
      </c>
      <c r="D787">
        <v>35</v>
      </c>
      <c r="E787">
        <v>99</v>
      </c>
      <c r="F787">
        <v>4</v>
      </c>
      <c r="G787" t="s">
        <v>112</v>
      </c>
      <c r="H787">
        <v>4</v>
      </c>
      <c r="I787" t="s">
        <v>112</v>
      </c>
      <c r="J787">
        <v>350</v>
      </c>
      <c r="K787">
        <v>2700</v>
      </c>
      <c r="L787">
        <v>1</v>
      </c>
      <c r="M787">
        <v>380</v>
      </c>
      <c r="N787">
        <v>1330</v>
      </c>
      <c r="O787">
        <v>1</v>
      </c>
      <c r="P787">
        <v>0</v>
      </c>
      <c r="Q787">
        <v>0</v>
      </c>
      <c r="R787">
        <v>1</v>
      </c>
      <c r="S787">
        <v>4000000</v>
      </c>
      <c r="T787" t="s">
        <v>1398</v>
      </c>
      <c r="U787" t="s">
        <v>1390</v>
      </c>
      <c r="V787" t="s">
        <v>358</v>
      </c>
      <c r="W787">
        <v>1537.5</v>
      </c>
      <c r="X787" t="b">
        <v>0</v>
      </c>
    </row>
    <row r="788" spans="1:24" x14ac:dyDescent="0.25">
      <c r="A788">
        <v>787</v>
      </c>
      <c r="B788" t="s">
        <v>1399</v>
      </c>
      <c r="C788">
        <v>2</v>
      </c>
      <c r="D788">
        <v>6</v>
      </c>
      <c r="E788">
        <v>25</v>
      </c>
      <c r="F788">
        <v>0</v>
      </c>
      <c r="G788" t="s">
        <v>112</v>
      </c>
      <c r="H788">
        <v>6</v>
      </c>
      <c r="I788" t="s">
        <v>112</v>
      </c>
      <c r="J788">
        <v>161</v>
      </c>
      <c r="K788">
        <v>725</v>
      </c>
      <c r="L788">
        <v>1</v>
      </c>
      <c r="M788">
        <v>96</v>
      </c>
      <c r="N788">
        <v>432</v>
      </c>
      <c r="O788">
        <v>1</v>
      </c>
      <c r="P788">
        <v>0</v>
      </c>
      <c r="Q788">
        <v>0</v>
      </c>
      <c r="R788">
        <v>1</v>
      </c>
      <c r="S788">
        <v>1500000</v>
      </c>
      <c r="T788" t="s">
        <v>112</v>
      </c>
      <c r="U788" t="s">
        <v>112</v>
      </c>
      <c r="W788">
        <v>300</v>
      </c>
      <c r="X788" t="b">
        <v>0</v>
      </c>
    </row>
    <row r="789" spans="1:24" x14ac:dyDescent="0.25">
      <c r="A789">
        <v>788</v>
      </c>
      <c r="B789" t="s">
        <v>1400</v>
      </c>
      <c r="C789">
        <v>3</v>
      </c>
      <c r="D789">
        <v>12</v>
      </c>
      <c r="E789">
        <v>70</v>
      </c>
      <c r="F789">
        <v>0</v>
      </c>
      <c r="G789" t="s">
        <v>112</v>
      </c>
      <c r="H789">
        <v>6</v>
      </c>
      <c r="I789" t="s">
        <v>112</v>
      </c>
      <c r="J789">
        <v>580</v>
      </c>
      <c r="K789">
        <v>1350</v>
      </c>
      <c r="L789">
        <v>1</v>
      </c>
      <c r="M789">
        <v>389</v>
      </c>
      <c r="N789">
        <v>973</v>
      </c>
      <c r="O789">
        <v>1</v>
      </c>
      <c r="P789">
        <v>0</v>
      </c>
      <c r="Q789">
        <v>0</v>
      </c>
      <c r="R789">
        <v>1</v>
      </c>
      <c r="S789">
        <v>1500000</v>
      </c>
      <c r="T789" t="s">
        <v>492</v>
      </c>
      <c r="U789" t="s">
        <v>1136</v>
      </c>
      <c r="W789">
        <v>562.5</v>
      </c>
      <c r="X789" t="b">
        <v>0</v>
      </c>
    </row>
    <row r="790" spans="1:24" x14ac:dyDescent="0.25">
      <c r="A790">
        <v>789</v>
      </c>
      <c r="B790" t="s">
        <v>1401</v>
      </c>
      <c r="C790">
        <v>2</v>
      </c>
      <c r="D790">
        <v>6</v>
      </c>
      <c r="E790">
        <v>25</v>
      </c>
      <c r="F790">
        <v>1</v>
      </c>
      <c r="G790" t="s">
        <v>112</v>
      </c>
      <c r="H790">
        <v>3</v>
      </c>
      <c r="I790" t="s">
        <v>112</v>
      </c>
      <c r="J790">
        <v>95</v>
      </c>
      <c r="K790">
        <v>428</v>
      </c>
      <c r="L790">
        <v>1</v>
      </c>
      <c r="M790">
        <v>61</v>
      </c>
      <c r="N790">
        <v>275</v>
      </c>
      <c r="O790">
        <v>1</v>
      </c>
      <c r="P790">
        <v>98</v>
      </c>
      <c r="Q790">
        <v>206</v>
      </c>
      <c r="R790">
        <v>1</v>
      </c>
      <c r="S790">
        <v>1500000</v>
      </c>
      <c r="T790" t="s">
        <v>112</v>
      </c>
      <c r="U790" t="s">
        <v>112</v>
      </c>
      <c r="W790">
        <v>300</v>
      </c>
      <c r="X790" t="b">
        <v>0</v>
      </c>
    </row>
    <row r="791" spans="1:24" x14ac:dyDescent="0.25">
      <c r="A791">
        <v>790</v>
      </c>
      <c r="B791" t="s">
        <v>1402</v>
      </c>
      <c r="C791">
        <v>3</v>
      </c>
      <c r="D791">
        <v>12</v>
      </c>
      <c r="E791">
        <v>70</v>
      </c>
      <c r="F791">
        <v>1</v>
      </c>
      <c r="G791" t="s">
        <v>112</v>
      </c>
      <c r="H791">
        <v>3</v>
      </c>
      <c r="I791" t="s">
        <v>112</v>
      </c>
      <c r="J791">
        <v>342</v>
      </c>
      <c r="K791">
        <v>855</v>
      </c>
      <c r="L791">
        <v>1</v>
      </c>
      <c r="M791">
        <v>248</v>
      </c>
      <c r="N791">
        <v>620</v>
      </c>
      <c r="O791">
        <v>1</v>
      </c>
      <c r="P791">
        <v>185</v>
      </c>
      <c r="Q791">
        <v>389</v>
      </c>
      <c r="R791">
        <v>1</v>
      </c>
      <c r="S791">
        <v>1500000</v>
      </c>
      <c r="T791" t="s">
        <v>496</v>
      </c>
      <c r="U791" t="s">
        <v>1140</v>
      </c>
      <c r="W791">
        <v>562.5</v>
      </c>
      <c r="X791" t="b">
        <v>0</v>
      </c>
    </row>
    <row r="792" spans="1:24" x14ac:dyDescent="0.25">
      <c r="A792">
        <v>791</v>
      </c>
      <c r="B792" t="s">
        <v>1403</v>
      </c>
      <c r="C792">
        <v>2</v>
      </c>
      <c r="D792">
        <v>6</v>
      </c>
      <c r="E792">
        <v>25</v>
      </c>
      <c r="F792">
        <v>2</v>
      </c>
      <c r="G792" t="s">
        <v>112</v>
      </c>
      <c r="H792">
        <v>1</v>
      </c>
      <c r="I792" t="s">
        <v>112</v>
      </c>
      <c r="J792">
        <v>118</v>
      </c>
      <c r="K792">
        <v>531</v>
      </c>
      <c r="L792">
        <v>1</v>
      </c>
      <c r="M792">
        <v>88</v>
      </c>
      <c r="N792">
        <v>396</v>
      </c>
      <c r="O792">
        <v>1</v>
      </c>
      <c r="P792">
        <v>43</v>
      </c>
      <c r="Q792">
        <v>90</v>
      </c>
      <c r="R792">
        <v>1</v>
      </c>
      <c r="S792">
        <v>1500000</v>
      </c>
      <c r="T792" t="s">
        <v>112</v>
      </c>
      <c r="U792" t="s">
        <v>112</v>
      </c>
      <c r="W792">
        <v>300</v>
      </c>
      <c r="X792" t="b">
        <v>0</v>
      </c>
    </row>
    <row r="793" spans="1:24" x14ac:dyDescent="0.25">
      <c r="A793">
        <v>792</v>
      </c>
      <c r="B793" t="s">
        <v>1404</v>
      </c>
      <c r="C793">
        <v>3</v>
      </c>
      <c r="D793">
        <v>12</v>
      </c>
      <c r="E793">
        <v>70</v>
      </c>
      <c r="F793">
        <v>2</v>
      </c>
      <c r="G793" t="s">
        <v>112</v>
      </c>
      <c r="H793">
        <v>1</v>
      </c>
      <c r="I793" t="s">
        <v>112</v>
      </c>
      <c r="J793">
        <v>425</v>
      </c>
      <c r="K793">
        <v>1063</v>
      </c>
      <c r="L793">
        <v>1</v>
      </c>
      <c r="M793">
        <v>356</v>
      </c>
      <c r="N793">
        <v>890</v>
      </c>
      <c r="O793">
        <v>1</v>
      </c>
      <c r="P793">
        <v>81</v>
      </c>
      <c r="Q793">
        <v>170</v>
      </c>
      <c r="R793">
        <v>1</v>
      </c>
      <c r="S793">
        <v>1500000</v>
      </c>
      <c r="T793" t="s">
        <v>500</v>
      </c>
      <c r="U793" t="s">
        <v>1144</v>
      </c>
      <c r="W793">
        <v>562.5</v>
      </c>
      <c r="X793" t="b">
        <v>0</v>
      </c>
    </row>
    <row r="794" spans="1:24" x14ac:dyDescent="0.25">
      <c r="A794">
        <v>793</v>
      </c>
      <c r="B794" t="s">
        <v>1405</v>
      </c>
      <c r="C794">
        <v>2</v>
      </c>
      <c r="D794">
        <v>6</v>
      </c>
      <c r="E794">
        <v>25</v>
      </c>
      <c r="F794">
        <v>3</v>
      </c>
      <c r="G794" t="s">
        <v>112</v>
      </c>
      <c r="H794">
        <v>2</v>
      </c>
      <c r="I794" t="s">
        <v>112</v>
      </c>
      <c r="J794">
        <v>176</v>
      </c>
      <c r="K794">
        <v>792</v>
      </c>
      <c r="L794">
        <v>1</v>
      </c>
      <c r="M794">
        <v>89</v>
      </c>
      <c r="N794">
        <v>401</v>
      </c>
      <c r="O794">
        <v>1</v>
      </c>
      <c r="P794">
        <v>0</v>
      </c>
      <c r="Q794">
        <v>0</v>
      </c>
      <c r="R794">
        <v>1</v>
      </c>
      <c r="S794">
        <v>1500000</v>
      </c>
      <c r="T794" t="s">
        <v>112</v>
      </c>
      <c r="U794" t="s">
        <v>112</v>
      </c>
      <c r="W794">
        <v>300</v>
      </c>
      <c r="X794" t="b">
        <v>0</v>
      </c>
    </row>
    <row r="795" spans="1:24" x14ac:dyDescent="0.25">
      <c r="A795">
        <v>794</v>
      </c>
      <c r="B795" t="s">
        <v>1406</v>
      </c>
      <c r="C795">
        <v>3</v>
      </c>
      <c r="D795">
        <v>12</v>
      </c>
      <c r="E795">
        <v>70</v>
      </c>
      <c r="F795">
        <v>3</v>
      </c>
      <c r="G795" t="s">
        <v>112</v>
      </c>
      <c r="H795">
        <v>2</v>
      </c>
      <c r="I795" t="s">
        <v>112</v>
      </c>
      <c r="J795">
        <v>634</v>
      </c>
      <c r="K795">
        <v>1635</v>
      </c>
      <c r="L795">
        <v>1</v>
      </c>
      <c r="M795">
        <v>361</v>
      </c>
      <c r="N795">
        <v>803</v>
      </c>
      <c r="O795">
        <v>1</v>
      </c>
      <c r="P795">
        <v>0</v>
      </c>
      <c r="Q795">
        <v>0</v>
      </c>
      <c r="R795">
        <v>1</v>
      </c>
      <c r="S795">
        <v>1500000</v>
      </c>
      <c r="T795" t="s">
        <v>716</v>
      </c>
      <c r="U795" t="s">
        <v>1080</v>
      </c>
      <c r="W795">
        <v>562.5</v>
      </c>
      <c r="X795" t="b">
        <v>0</v>
      </c>
    </row>
    <row r="796" spans="1:24" x14ac:dyDescent="0.25">
      <c r="A796">
        <v>795</v>
      </c>
      <c r="B796" t="s">
        <v>1407</v>
      </c>
      <c r="C796">
        <v>2</v>
      </c>
      <c r="D796">
        <v>6</v>
      </c>
      <c r="E796">
        <v>25</v>
      </c>
      <c r="F796">
        <v>4</v>
      </c>
      <c r="G796" t="s">
        <v>112</v>
      </c>
      <c r="H796">
        <v>7</v>
      </c>
      <c r="I796" t="s">
        <v>112</v>
      </c>
      <c r="J796">
        <v>104</v>
      </c>
      <c r="K796">
        <v>468</v>
      </c>
      <c r="L796">
        <v>1</v>
      </c>
      <c r="M796">
        <v>89</v>
      </c>
      <c r="N796">
        <v>401</v>
      </c>
      <c r="O796">
        <v>1</v>
      </c>
      <c r="P796">
        <v>49</v>
      </c>
      <c r="Q796">
        <v>103</v>
      </c>
      <c r="R796">
        <v>1</v>
      </c>
      <c r="S796">
        <v>1500000</v>
      </c>
      <c r="T796" t="s">
        <v>112</v>
      </c>
      <c r="U796" t="s">
        <v>112</v>
      </c>
      <c r="W796">
        <v>300</v>
      </c>
      <c r="X796" t="b">
        <v>0</v>
      </c>
    </row>
    <row r="797" spans="1:24" x14ac:dyDescent="0.25">
      <c r="A797">
        <v>796</v>
      </c>
      <c r="B797" t="s">
        <v>1408</v>
      </c>
      <c r="C797">
        <v>3</v>
      </c>
      <c r="D797">
        <v>12</v>
      </c>
      <c r="E797">
        <v>70</v>
      </c>
      <c r="F797">
        <v>4</v>
      </c>
      <c r="G797" t="s">
        <v>112</v>
      </c>
      <c r="H797">
        <v>7</v>
      </c>
      <c r="I797" t="s">
        <v>112</v>
      </c>
      <c r="J797">
        <v>374</v>
      </c>
      <c r="K797">
        <v>935</v>
      </c>
      <c r="L797">
        <v>1</v>
      </c>
      <c r="M797">
        <v>361</v>
      </c>
      <c r="N797">
        <v>903</v>
      </c>
      <c r="O797">
        <v>1</v>
      </c>
      <c r="P797">
        <v>93</v>
      </c>
      <c r="Q797">
        <v>195</v>
      </c>
      <c r="R797">
        <v>1</v>
      </c>
      <c r="S797">
        <v>1500000</v>
      </c>
      <c r="T797" t="s">
        <v>721</v>
      </c>
      <c r="U797" t="s">
        <v>1084</v>
      </c>
      <c r="W797">
        <v>562.5</v>
      </c>
      <c r="X797" t="b">
        <v>0</v>
      </c>
    </row>
    <row r="798" spans="1:24" x14ac:dyDescent="0.25">
      <c r="A798">
        <v>797</v>
      </c>
      <c r="B798" t="s">
        <v>1409</v>
      </c>
      <c r="C798">
        <v>5</v>
      </c>
      <c r="D798">
        <v>1</v>
      </c>
      <c r="E798">
        <v>1</v>
      </c>
      <c r="F798">
        <v>3</v>
      </c>
      <c r="G798" t="s">
        <v>112</v>
      </c>
      <c r="H798">
        <v>12</v>
      </c>
      <c r="I798" t="s">
        <v>112</v>
      </c>
      <c r="J798">
        <v>100</v>
      </c>
      <c r="K798">
        <v>100</v>
      </c>
      <c r="L798">
        <v>1</v>
      </c>
      <c r="M798">
        <v>100</v>
      </c>
      <c r="N798">
        <v>100</v>
      </c>
      <c r="O798">
        <v>1</v>
      </c>
      <c r="P798">
        <v>100</v>
      </c>
      <c r="Q798">
        <v>100</v>
      </c>
      <c r="R798">
        <v>1</v>
      </c>
      <c r="S798">
        <v>1500000</v>
      </c>
      <c r="T798" t="s">
        <v>2280</v>
      </c>
      <c r="U798" t="s">
        <v>112</v>
      </c>
      <c r="W798">
        <v>10000</v>
      </c>
      <c r="X798" t="b">
        <v>0</v>
      </c>
    </row>
    <row r="799" spans="1:24" x14ac:dyDescent="0.25">
      <c r="A799">
        <v>798</v>
      </c>
      <c r="B799" t="s">
        <v>2281</v>
      </c>
      <c r="C799">
        <v>6</v>
      </c>
      <c r="D799">
        <v>38</v>
      </c>
      <c r="E799">
        <v>1</v>
      </c>
      <c r="F799">
        <v>0</v>
      </c>
      <c r="G799" t="s">
        <v>112</v>
      </c>
      <c r="H799">
        <v>14</v>
      </c>
      <c r="I799" t="s">
        <v>112</v>
      </c>
      <c r="J799">
        <v>831</v>
      </c>
      <c r="K799">
        <v>831</v>
      </c>
      <c r="L799">
        <v>1</v>
      </c>
      <c r="M799">
        <v>831</v>
      </c>
      <c r="N799">
        <v>831</v>
      </c>
      <c r="O799">
        <v>1</v>
      </c>
      <c r="P799">
        <v>831</v>
      </c>
      <c r="Q799">
        <v>831</v>
      </c>
      <c r="R799">
        <v>1</v>
      </c>
      <c r="S799">
        <v>1500000</v>
      </c>
      <c r="T799" t="s">
        <v>112</v>
      </c>
      <c r="U799" t="s">
        <v>112</v>
      </c>
      <c r="W799">
        <v>100000</v>
      </c>
      <c r="X799" t="b">
        <v>0</v>
      </c>
    </row>
    <row r="800" spans="1:24" x14ac:dyDescent="0.25">
      <c r="A800">
        <v>799</v>
      </c>
      <c r="B800" t="s">
        <v>1410</v>
      </c>
      <c r="C800">
        <v>5</v>
      </c>
      <c r="D800">
        <v>20</v>
      </c>
      <c r="E800">
        <v>50</v>
      </c>
      <c r="F800">
        <v>0</v>
      </c>
      <c r="G800" t="s">
        <v>112</v>
      </c>
      <c r="H800">
        <v>5</v>
      </c>
      <c r="I800" t="s">
        <v>112</v>
      </c>
      <c r="J800">
        <v>551</v>
      </c>
      <c r="K800">
        <v>1322</v>
      </c>
      <c r="L800">
        <v>1</v>
      </c>
      <c r="M800">
        <v>408</v>
      </c>
      <c r="N800">
        <v>694</v>
      </c>
      <c r="O800">
        <v>1</v>
      </c>
      <c r="P800">
        <v>218</v>
      </c>
      <c r="Q800">
        <v>371</v>
      </c>
      <c r="R800">
        <v>1</v>
      </c>
      <c r="S800">
        <v>4000000</v>
      </c>
      <c r="T800" t="s">
        <v>1411</v>
      </c>
      <c r="U800" t="s">
        <v>1412</v>
      </c>
      <c r="W800">
        <v>937.5</v>
      </c>
      <c r="X800" t="b">
        <v>0</v>
      </c>
    </row>
    <row r="801" spans="1:24" x14ac:dyDescent="0.25">
      <c r="A801">
        <v>800</v>
      </c>
      <c r="B801" t="s">
        <v>1413</v>
      </c>
      <c r="C801">
        <v>6</v>
      </c>
      <c r="D801">
        <v>25</v>
      </c>
      <c r="E801">
        <v>99</v>
      </c>
      <c r="F801">
        <v>0</v>
      </c>
      <c r="G801" t="s">
        <v>112</v>
      </c>
      <c r="H801">
        <v>5</v>
      </c>
      <c r="I801">
        <v>1</v>
      </c>
      <c r="J801">
        <v>1058</v>
      </c>
      <c r="K801">
        <v>2645</v>
      </c>
      <c r="L801">
        <v>1</v>
      </c>
      <c r="M801">
        <v>625</v>
      </c>
      <c r="N801">
        <v>1225</v>
      </c>
      <c r="O801">
        <v>1</v>
      </c>
      <c r="P801">
        <v>334</v>
      </c>
      <c r="Q801">
        <v>501</v>
      </c>
      <c r="R801">
        <v>1</v>
      </c>
      <c r="S801">
        <v>4000000</v>
      </c>
      <c r="T801" t="s">
        <v>1411</v>
      </c>
      <c r="U801" t="s">
        <v>1412</v>
      </c>
      <c r="V801" t="s">
        <v>2282</v>
      </c>
      <c r="W801">
        <v>1162.5</v>
      </c>
      <c r="X801" t="b">
        <v>0</v>
      </c>
    </row>
    <row r="802" spans="1:24" x14ac:dyDescent="0.25">
      <c r="A802">
        <v>801</v>
      </c>
      <c r="B802" t="s">
        <v>1414</v>
      </c>
      <c r="C802">
        <v>5</v>
      </c>
      <c r="D802">
        <v>20</v>
      </c>
      <c r="E802">
        <v>50</v>
      </c>
      <c r="F802">
        <v>1</v>
      </c>
      <c r="G802">
        <v>2</v>
      </c>
      <c r="H802">
        <v>5</v>
      </c>
      <c r="I802" t="s">
        <v>112</v>
      </c>
      <c r="J802">
        <v>532</v>
      </c>
      <c r="K802">
        <v>1277</v>
      </c>
      <c r="L802">
        <v>1</v>
      </c>
      <c r="M802">
        <v>454</v>
      </c>
      <c r="N802">
        <v>772</v>
      </c>
      <c r="O802">
        <v>1</v>
      </c>
      <c r="P802">
        <v>200</v>
      </c>
      <c r="Q802">
        <v>340</v>
      </c>
      <c r="R802">
        <v>1</v>
      </c>
      <c r="S802">
        <v>4000000</v>
      </c>
      <c r="T802" t="s">
        <v>1415</v>
      </c>
      <c r="U802" t="s">
        <v>1416</v>
      </c>
      <c r="W802">
        <v>937.5</v>
      </c>
      <c r="X802" t="b">
        <v>0</v>
      </c>
    </row>
    <row r="803" spans="1:24" x14ac:dyDescent="0.25">
      <c r="A803">
        <v>802</v>
      </c>
      <c r="B803" t="s">
        <v>1417</v>
      </c>
      <c r="C803">
        <v>6</v>
      </c>
      <c r="D803">
        <v>25</v>
      </c>
      <c r="E803">
        <v>99</v>
      </c>
      <c r="F803">
        <v>1</v>
      </c>
      <c r="G803">
        <v>2</v>
      </c>
      <c r="H803">
        <v>5</v>
      </c>
      <c r="I803" t="s">
        <v>112</v>
      </c>
      <c r="J803">
        <v>1022</v>
      </c>
      <c r="K803">
        <v>2555</v>
      </c>
      <c r="L803">
        <v>1</v>
      </c>
      <c r="M803">
        <v>695</v>
      </c>
      <c r="N803">
        <v>1251</v>
      </c>
      <c r="O803">
        <v>1</v>
      </c>
      <c r="P803">
        <v>306</v>
      </c>
      <c r="Q803">
        <v>551</v>
      </c>
      <c r="R803">
        <v>1</v>
      </c>
      <c r="S803">
        <v>4000000</v>
      </c>
      <c r="T803" t="s">
        <v>1415</v>
      </c>
      <c r="U803" t="s">
        <v>1416</v>
      </c>
      <c r="V803" t="s">
        <v>2283</v>
      </c>
      <c r="W803">
        <v>1162.5</v>
      </c>
      <c r="X803" t="b">
        <v>0</v>
      </c>
    </row>
    <row r="804" spans="1:24" x14ac:dyDescent="0.25">
      <c r="A804">
        <v>803</v>
      </c>
      <c r="B804" t="s">
        <v>1418</v>
      </c>
      <c r="C804">
        <v>5</v>
      </c>
      <c r="D804">
        <v>20</v>
      </c>
      <c r="E804">
        <v>50</v>
      </c>
      <c r="F804">
        <v>2</v>
      </c>
      <c r="G804" t="s">
        <v>112</v>
      </c>
      <c r="H804">
        <v>5</v>
      </c>
      <c r="I804" t="s">
        <v>112</v>
      </c>
      <c r="J804">
        <v>543</v>
      </c>
      <c r="K804">
        <v>1303</v>
      </c>
      <c r="L804">
        <v>1</v>
      </c>
      <c r="M804">
        <v>411</v>
      </c>
      <c r="N804">
        <v>699</v>
      </c>
      <c r="O804">
        <v>1</v>
      </c>
      <c r="P804">
        <v>222</v>
      </c>
      <c r="Q804">
        <v>377</v>
      </c>
      <c r="R804">
        <v>1</v>
      </c>
      <c r="S804">
        <v>4000000</v>
      </c>
      <c r="T804" t="s">
        <v>2525</v>
      </c>
      <c r="U804" t="s">
        <v>1419</v>
      </c>
      <c r="W804">
        <v>937.5</v>
      </c>
      <c r="X804" t="b">
        <v>0</v>
      </c>
    </row>
    <row r="805" spans="1:24" x14ac:dyDescent="0.25">
      <c r="A805">
        <v>804</v>
      </c>
      <c r="B805" t="s">
        <v>1420</v>
      </c>
      <c r="C805">
        <v>6</v>
      </c>
      <c r="D805">
        <v>25</v>
      </c>
      <c r="E805">
        <v>99</v>
      </c>
      <c r="F805">
        <v>2</v>
      </c>
      <c r="G805" t="s">
        <v>112</v>
      </c>
      <c r="H805">
        <v>5</v>
      </c>
      <c r="I805" t="s">
        <v>112</v>
      </c>
      <c r="J805">
        <v>1042</v>
      </c>
      <c r="K805">
        <v>2805</v>
      </c>
      <c r="L805">
        <v>1</v>
      </c>
      <c r="M805">
        <v>629</v>
      </c>
      <c r="N805">
        <v>1232</v>
      </c>
      <c r="O805">
        <v>1</v>
      </c>
      <c r="P805">
        <v>339</v>
      </c>
      <c r="Q805">
        <v>610</v>
      </c>
      <c r="R805">
        <v>1</v>
      </c>
      <c r="S805">
        <v>4000000</v>
      </c>
      <c r="T805" t="s">
        <v>2525</v>
      </c>
      <c r="U805" t="s">
        <v>1419</v>
      </c>
      <c r="V805" t="s">
        <v>2284</v>
      </c>
      <c r="W805">
        <v>1162.5</v>
      </c>
      <c r="X805" t="b">
        <v>0</v>
      </c>
    </row>
    <row r="806" spans="1:24" x14ac:dyDescent="0.25">
      <c r="A806">
        <v>805</v>
      </c>
      <c r="B806" t="s">
        <v>1421</v>
      </c>
      <c r="C806">
        <v>5</v>
      </c>
      <c r="D806">
        <v>20</v>
      </c>
      <c r="E806">
        <v>50</v>
      </c>
      <c r="F806">
        <v>3</v>
      </c>
      <c r="G806" t="s">
        <v>112</v>
      </c>
      <c r="H806">
        <v>5</v>
      </c>
      <c r="I806" t="s">
        <v>112</v>
      </c>
      <c r="J806">
        <v>697</v>
      </c>
      <c r="K806">
        <v>1673</v>
      </c>
      <c r="L806">
        <v>1</v>
      </c>
      <c r="M806">
        <v>496</v>
      </c>
      <c r="N806">
        <v>843</v>
      </c>
      <c r="O806">
        <v>1</v>
      </c>
      <c r="P806">
        <v>100</v>
      </c>
      <c r="Q806">
        <v>170</v>
      </c>
      <c r="R806">
        <v>1</v>
      </c>
      <c r="S806">
        <v>4000000</v>
      </c>
      <c r="T806" t="s">
        <v>1422</v>
      </c>
      <c r="U806" t="s">
        <v>1423</v>
      </c>
      <c r="W806">
        <v>937.5</v>
      </c>
      <c r="X806" t="b">
        <v>0</v>
      </c>
    </row>
    <row r="807" spans="1:24" x14ac:dyDescent="0.25">
      <c r="A807">
        <v>806</v>
      </c>
      <c r="B807" t="s">
        <v>1424</v>
      </c>
      <c r="C807">
        <v>6</v>
      </c>
      <c r="D807">
        <v>25</v>
      </c>
      <c r="E807">
        <v>99</v>
      </c>
      <c r="F807">
        <v>3</v>
      </c>
      <c r="G807" t="s">
        <v>112</v>
      </c>
      <c r="H807">
        <v>5</v>
      </c>
      <c r="I807" t="s">
        <v>112</v>
      </c>
      <c r="J807">
        <v>1338</v>
      </c>
      <c r="K807">
        <v>3345</v>
      </c>
      <c r="L807">
        <v>1</v>
      </c>
      <c r="M807">
        <v>759</v>
      </c>
      <c r="N807">
        <v>1366</v>
      </c>
      <c r="O807">
        <v>1</v>
      </c>
      <c r="P807">
        <v>153</v>
      </c>
      <c r="Q807">
        <v>275</v>
      </c>
      <c r="R807">
        <v>1</v>
      </c>
      <c r="S807">
        <v>4000000</v>
      </c>
      <c r="T807" t="s">
        <v>1422</v>
      </c>
      <c r="U807" t="s">
        <v>1423</v>
      </c>
      <c r="V807" t="s">
        <v>2285</v>
      </c>
      <c r="W807">
        <v>1162.5</v>
      </c>
      <c r="X807" t="b">
        <v>0</v>
      </c>
    </row>
    <row r="808" spans="1:24" x14ac:dyDescent="0.25">
      <c r="A808">
        <v>807</v>
      </c>
      <c r="B808" t="s">
        <v>1425</v>
      </c>
      <c r="C808">
        <v>5</v>
      </c>
      <c r="D808">
        <v>20</v>
      </c>
      <c r="E808">
        <v>50</v>
      </c>
      <c r="F808">
        <v>4</v>
      </c>
      <c r="G808" t="s">
        <v>112</v>
      </c>
      <c r="H808">
        <v>5</v>
      </c>
      <c r="I808" t="s">
        <v>112</v>
      </c>
      <c r="J808">
        <v>1051</v>
      </c>
      <c r="K808">
        <v>2522</v>
      </c>
      <c r="L808">
        <v>1</v>
      </c>
      <c r="M808">
        <v>370</v>
      </c>
      <c r="N808">
        <v>629</v>
      </c>
      <c r="O808">
        <v>1</v>
      </c>
      <c r="P808">
        <v>1</v>
      </c>
      <c r="Q808">
        <v>2</v>
      </c>
      <c r="R808">
        <v>1</v>
      </c>
      <c r="S808">
        <v>4000000</v>
      </c>
      <c r="T808" t="s">
        <v>1426</v>
      </c>
      <c r="U808" t="s">
        <v>1427</v>
      </c>
      <c r="W808">
        <v>937.5</v>
      </c>
      <c r="X808" t="b">
        <v>0</v>
      </c>
    </row>
    <row r="809" spans="1:24" x14ac:dyDescent="0.25">
      <c r="A809">
        <v>808</v>
      </c>
      <c r="B809" t="s">
        <v>1428</v>
      </c>
      <c r="C809">
        <v>6</v>
      </c>
      <c r="D809">
        <v>25</v>
      </c>
      <c r="E809">
        <v>99</v>
      </c>
      <c r="F809">
        <v>4</v>
      </c>
      <c r="G809" t="s">
        <v>112</v>
      </c>
      <c r="H809">
        <v>5</v>
      </c>
      <c r="I809">
        <v>2</v>
      </c>
      <c r="J809">
        <v>2018</v>
      </c>
      <c r="K809">
        <v>5045</v>
      </c>
      <c r="L809">
        <v>1</v>
      </c>
      <c r="M809">
        <v>566</v>
      </c>
      <c r="N809">
        <v>1119</v>
      </c>
      <c r="O809">
        <v>1</v>
      </c>
      <c r="P809">
        <v>2</v>
      </c>
      <c r="Q809">
        <v>4</v>
      </c>
      <c r="R809">
        <v>1</v>
      </c>
      <c r="S809">
        <v>4000000</v>
      </c>
      <c r="T809" t="s">
        <v>1426</v>
      </c>
      <c r="U809" t="s">
        <v>1427</v>
      </c>
      <c r="V809" t="s">
        <v>2286</v>
      </c>
      <c r="W809">
        <v>1162.5</v>
      </c>
      <c r="X809" t="b">
        <v>0</v>
      </c>
    </row>
    <row r="810" spans="1:24" x14ac:dyDescent="0.25">
      <c r="A810">
        <v>809</v>
      </c>
      <c r="B810" t="s">
        <v>1429</v>
      </c>
      <c r="C810">
        <v>5</v>
      </c>
      <c r="D810">
        <v>40</v>
      </c>
      <c r="E810">
        <v>50</v>
      </c>
      <c r="F810">
        <v>3</v>
      </c>
      <c r="G810" t="s">
        <v>112</v>
      </c>
      <c r="H810">
        <v>5</v>
      </c>
      <c r="I810">
        <v>2</v>
      </c>
      <c r="J810">
        <v>839</v>
      </c>
      <c r="K810">
        <v>2014</v>
      </c>
      <c r="L810">
        <v>1</v>
      </c>
      <c r="M810">
        <v>407</v>
      </c>
      <c r="N810">
        <v>692</v>
      </c>
      <c r="O810">
        <v>1</v>
      </c>
      <c r="P810">
        <v>147</v>
      </c>
      <c r="Q810">
        <v>250</v>
      </c>
      <c r="R810">
        <v>1</v>
      </c>
      <c r="S810">
        <v>5000000</v>
      </c>
      <c r="T810" t="s">
        <v>1430</v>
      </c>
      <c r="U810" t="s">
        <v>1431</v>
      </c>
      <c r="W810">
        <v>1687.5</v>
      </c>
      <c r="X810" t="b">
        <v>0</v>
      </c>
    </row>
    <row r="811" spans="1:24" x14ac:dyDescent="0.25">
      <c r="A811">
        <v>810</v>
      </c>
      <c r="B811" t="s">
        <v>1432</v>
      </c>
      <c r="C811">
        <v>6</v>
      </c>
      <c r="D811">
        <v>60</v>
      </c>
      <c r="E811">
        <v>99</v>
      </c>
      <c r="F811">
        <v>3</v>
      </c>
      <c r="G811">
        <v>0</v>
      </c>
      <c r="H811">
        <v>5</v>
      </c>
      <c r="I811">
        <v>2</v>
      </c>
      <c r="J811">
        <v>1611</v>
      </c>
      <c r="K811">
        <v>3928</v>
      </c>
      <c r="L811">
        <v>1</v>
      </c>
      <c r="M811">
        <v>623</v>
      </c>
      <c r="N811">
        <v>1021</v>
      </c>
      <c r="O811">
        <v>1</v>
      </c>
      <c r="P811">
        <v>225</v>
      </c>
      <c r="Q811">
        <v>395</v>
      </c>
      <c r="R811">
        <v>1</v>
      </c>
      <c r="S811">
        <v>5000000</v>
      </c>
      <c r="T811" t="s">
        <v>1430</v>
      </c>
      <c r="U811" t="s">
        <v>1431</v>
      </c>
      <c r="V811" t="s">
        <v>1433</v>
      </c>
      <c r="W811">
        <v>2475</v>
      </c>
      <c r="X811" t="b">
        <v>0</v>
      </c>
    </row>
    <row r="812" spans="1:24" x14ac:dyDescent="0.25">
      <c r="A812">
        <v>811</v>
      </c>
      <c r="B812" t="s">
        <v>1434</v>
      </c>
      <c r="C812">
        <v>6</v>
      </c>
      <c r="D812">
        <v>40</v>
      </c>
      <c r="E812">
        <v>50</v>
      </c>
      <c r="F812">
        <v>3</v>
      </c>
      <c r="G812">
        <v>1</v>
      </c>
      <c r="H812">
        <v>5</v>
      </c>
      <c r="I812">
        <v>1</v>
      </c>
      <c r="J812">
        <v>653</v>
      </c>
      <c r="K812">
        <v>1567</v>
      </c>
      <c r="L812">
        <v>1</v>
      </c>
      <c r="M812">
        <v>452</v>
      </c>
      <c r="N812">
        <v>768</v>
      </c>
      <c r="O812">
        <v>1</v>
      </c>
      <c r="P812">
        <v>227</v>
      </c>
      <c r="Q812">
        <v>386</v>
      </c>
      <c r="R812">
        <v>1</v>
      </c>
      <c r="S812">
        <v>5000000</v>
      </c>
      <c r="T812" t="s">
        <v>1435</v>
      </c>
      <c r="U812" t="s">
        <v>1436</v>
      </c>
      <c r="W812">
        <v>1725</v>
      </c>
      <c r="X812" t="b">
        <v>0</v>
      </c>
    </row>
    <row r="813" spans="1:24" x14ac:dyDescent="0.25">
      <c r="A813">
        <v>812</v>
      </c>
      <c r="B813" t="s">
        <v>1437</v>
      </c>
      <c r="C813">
        <v>7</v>
      </c>
      <c r="D813">
        <v>60</v>
      </c>
      <c r="E813">
        <v>99</v>
      </c>
      <c r="F813">
        <v>3</v>
      </c>
      <c r="G813">
        <v>1</v>
      </c>
      <c r="H813">
        <v>5</v>
      </c>
      <c r="I813">
        <v>1</v>
      </c>
      <c r="J813">
        <v>1254</v>
      </c>
      <c r="K813">
        <v>3287</v>
      </c>
      <c r="L813">
        <v>1</v>
      </c>
      <c r="M813">
        <v>691</v>
      </c>
      <c r="N813">
        <v>1239</v>
      </c>
      <c r="O813">
        <v>1</v>
      </c>
      <c r="P813">
        <v>347</v>
      </c>
      <c r="Q813">
        <v>549</v>
      </c>
      <c r="R813">
        <v>1</v>
      </c>
      <c r="S813">
        <v>5000000</v>
      </c>
      <c r="T813" t="s">
        <v>1435</v>
      </c>
      <c r="U813" t="s">
        <v>1436</v>
      </c>
      <c r="V813" t="s">
        <v>1438</v>
      </c>
      <c r="W813">
        <v>2512.5</v>
      </c>
      <c r="X813" t="b">
        <v>0</v>
      </c>
    </row>
    <row r="814" spans="1:24" x14ac:dyDescent="0.25">
      <c r="A814">
        <v>813</v>
      </c>
      <c r="B814" t="s">
        <v>1439</v>
      </c>
      <c r="C814">
        <v>6</v>
      </c>
      <c r="D814">
        <v>40</v>
      </c>
      <c r="E814">
        <v>50</v>
      </c>
      <c r="F814">
        <v>4</v>
      </c>
      <c r="G814">
        <v>0</v>
      </c>
      <c r="H814">
        <v>5</v>
      </c>
      <c r="I814">
        <v>2</v>
      </c>
      <c r="J814">
        <v>901</v>
      </c>
      <c r="K814">
        <v>2162</v>
      </c>
      <c r="L814">
        <v>1</v>
      </c>
      <c r="M814">
        <v>501</v>
      </c>
      <c r="N814">
        <v>852</v>
      </c>
      <c r="O814">
        <v>1</v>
      </c>
      <c r="P814">
        <v>16</v>
      </c>
      <c r="Q814">
        <v>27</v>
      </c>
      <c r="R814">
        <v>1</v>
      </c>
      <c r="S814">
        <v>5000000</v>
      </c>
      <c r="T814" t="s">
        <v>1440</v>
      </c>
      <c r="U814" t="s">
        <v>1441</v>
      </c>
      <c r="W814">
        <v>1725</v>
      </c>
      <c r="X814" t="b">
        <v>0</v>
      </c>
    </row>
    <row r="815" spans="1:24" x14ac:dyDescent="0.25">
      <c r="A815">
        <v>814</v>
      </c>
      <c r="B815" t="s">
        <v>1442</v>
      </c>
      <c r="C815">
        <v>7</v>
      </c>
      <c r="D815">
        <v>60</v>
      </c>
      <c r="E815">
        <v>99</v>
      </c>
      <c r="F815">
        <v>4</v>
      </c>
      <c r="G815">
        <v>0</v>
      </c>
      <c r="H815">
        <v>5</v>
      </c>
      <c r="I815">
        <v>2</v>
      </c>
      <c r="J815">
        <v>1730</v>
      </c>
      <c r="K815">
        <v>4511</v>
      </c>
      <c r="L815">
        <v>1</v>
      </c>
      <c r="M815">
        <v>767</v>
      </c>
      <c r="N815">
        <v>1501</v>
      </c>
      <c r="O815">
        <v>1</v>
      </c>
      <c r="P815">
        <v>24</v>
      </c>
      <c r="Q815">
        <v>57</v>
      </c>
      <c r="R815">
        <v>1</v>
      </c>
      <c r="S815">
        <v>5000000</v>
      </c>
      <c r="T815" t="s">
        <v>1440</v>
      </c>
      <c r="U815" t="s">
        <v>1441</v>
      </c>
      <c r="V815" t="s">
        <v>1443</v>
      </c>
      <c r="W815">
        <v>2512.5</v>
      </c>
      <c r="X815" t="b">
        <v>0</v>
      </c>
    </row>
    <row r="816" spans="1:24" x14ac:dyDescent="0.25">
      <c r="A816">
        <v>815</v>
      </c>
      <c r="B816" t="s">
        <v>2418</v>
      </c>
      <c r="C816">
        <v>3</v>
      </c>
      <c r="D816">
        <v>5</v>
      </c>
      <c r="E816">
        <v>25</v>
      </c>
      <c r="F816">
        <v>3</v>
      </c>
      <c r="G816" t="s">
        <v>112</v>
      </c>
      <c r="H816">
        <v>1</v>
      </c>
      <c r="I816" t="s">
        <v>112</v>
      </c>
      <c r="J816">
        <v>202</v>
      </c>
      <c r="K816">
        <v>909</v>
      </c>
      <c r="L816">
        <v>1</v>
      </c>
      <c r="M816">
        <v>107</v>
      </c>
      <c r="N816">
        <v>482</v>
      </c>
      <c r="O816">
        <v>1</v>
      </c>
      <c r="P816">
        <v>76</v>
      </c>
      <c r="Q816">
        <v>160</v>
      </c>
      <c r="R816">
        <v>1</v>
      </c>
      <c r="S816">
        <v>1500000</v>
      </c>
      <c r="T816" t="s">
        <v>112</v>
      </c>
      <c r="U816" t="s">
        <v>112</v>
      </c>
      <c r="W816">
        <v>300</v>
      </c>
      <c r="X816" t="b">
        <v>0</v>
      </c>
    </row>
    <row r="817" spans="1:24" x14ac:dyDescent="0.25">
      <c r="A817">
        <v>816</v>
      </c>
      <c r="B817" t="s">
        <v>2419</v>
      </c>
      <c r="C817">
        <v>4</v>
      </c>
      <c r="D817">
        <v>10</v>
      </c>
      <c r="E817">
        <v>70</v>
      </c>
      <c r="F817">
        <v>3</v>
      </c>
      <c r="G817" t="s">
        <v>112</v>
      </c>
      <c r="H817">
        <v>1</v>
      </c>
      <c r="I817" t="s">
        <v>112</v>
      </c>
      <c r="J817">
        <v>727</v>
      </c>
      <c r="K817">
        <v>1818</v>
      </c>
      <c r="L817">
        <v>1</v>
      </c>
      <c r="M817">
        <v>434</v>
      </c>
      <c r="N817">
        <v>1085</v>
      </c>
      <c r="O817">
        <v>1</v>
      </c>
      <c r="P817">
        <v>144</v>
      </c>
      <c r="Q817">
        <v>302</v>
      </c>
      <c r="R817">
        <v>1</v>
      </c>
      <c r="S817">
        <v>3000000</v>
      </c>
      <c r="T817" t="s">
        <v>2420</v>
      </c>
      <c r="U817" t="s">
        <v>308</v>
      </c>
      <c r="V817" t="s">
        <v>1444</v>
      </c>
      <c r="W817">
        <v>525</v>
      </c>
      <c r="X817" t="b">
        <v>0</v>
      </c>
    </row>
    <row r="818" spans="1:24" x14ac:dyDescent="0.25">
      <c r="A818">
        <v>817</v>
      </c>
      <c r="B818" t="s">
        <v>2421</v>
      </c>
      <c r="C818">
        <v>3</v>
      </c>
      <c r="D818">
        <v>10</v>
      </c>
      <c r="E818">
        <v>25</v>
      </c>
      <c r="F818">
        <v>0</v>
      </c>
      <c r="G818" t="s">
        <v>112</v>
      </c>
      <c r="H818">
        <v>2</v>
      </c>
      <c r="I818" t="s">
        <v>112</v>
      </c>
      <c r="J818">
        <v>473</v>
      </c>
      <c r="K818">
        <v>2129</v>
      </c>
      <c r="L818">
        <v>1</v>
      </c>
      <c r="M818">
        <v>102</v>
      </c>
      <c r="N818">
        <v>459</v>
      </c>
      <c r="O818">
        <v>1</v>
      </c>
      <c r="P818">
        <v>-100</v>
      </c>
      <c r="Q818">
        <v>-100</v>
      </c>
      <c r="R818">
        <v>1</v>
      </c>
      <c r="S818">
        <v>1500000</v>
      </c>
      <c r="T818" t="s">
        <v>112</v>
      </c>
      <c r="U818" t="s">
        <v>112</v>
      </c>
      <c r="W818">
        <v>487.5</v>
      </c>
      <c r="X818" t="b">
        <v>0</v>
      </c>
    </row>
    <row r="819" spans="1:24" x14ac:dyDescent="0.25">
      <c r="A819">
        <v>818</v>
      </c>
      <c r="B819" t="s">
        <v>2422</v>
      </c>
      <c r="C819">
        <v>4</v>
      </c>
      <c r="D819">
        <v>15</v>
      </c>
      <c r="E819">
        <v>70</v>
      </c>
      <c r="F819">
        <v>0</v>
      </c>
      <c r="G819" t="s">
        <v>112</v>
      </c>
      <c r="H819">
        <v>2</v>
      </c>
      <c r="I819" t="s">
        <v>112</v>
      </c>
      <c r="J819">
        <v>1703</v>
      </c>
      <c r="K819">
        <v>3858</v>
      </c>
      <c r="L819">
        <v>1</v>
      </c>
      <c r="M819">
        <v>413</v>
      </c>
      <c r="N819">
        <v>1033</v>
      </c>
      <c r="O819">
        <v>1</v>
      </c>
      <c r="P819">
        <v>-100</v>
      </c>
      <c r="Q819">
        <v>-100</v>
      </c>
      <c r="R819">
        <v>1</v>
      </c>
      <c r="S819">
        <v>3000000</v>
      </c>
      <c r="T819" t="s">
        <v>2423</v>
      </c>
      <c r="U819" t="s">
        <v>339</v>
      </c>
      <c r="V819" t="s">
        <v>1445</v>
      </c>
      <c r="W819">
        <v>712.5</v>
      </c>
      <c r="X819" t="b">
        <v>0</v>
      </c>
    </row>
    <row r="820" spans="1:24" x14ac:dyDescent="0.25">
      <c r="A820">
        <v>819</v>
      </c>
      <c r="B820" t="s">
        <v>2424</v>
      </c>
      <c r="C820">
        <v>5</v>
      </c>
      <c r="D820">
        <v>40</v>
      </c>
      <c r="E820">
        <v>50</v>
      </c>
      <c r="F820">
        <v>1</v>
      </c>
      <c r="G820">
        <v>2</v>
      </c>
      <c r="H820">
        <v>2</v>
      </c>
      <c r="I820" t="s">
        <v>112</v>
      </c>
      <c r="J820">
        <v>531</v>
      </c>
      <c r="K820">
        <v>2099</v>
      </c>
      <c r="L820">
        <v>1</v>
      </c>
      <c r="M820">
        <v>379</v>
      </c>
      <c r="N820">
        <v>1096</v>
      </c>
      <c r="O820">
        <v>1</v>
      </c>
      <c r="P820">
        <v>0</v>
      </c>
      <c r="Q820">
        <v>0</v>
      </c>
      <c r="R820">
        <v>1</v>
      </c>
      <c r="S820">
        <v>5000000</v>
      </c>
      <c r="T820" t="s">
        <v>2425</v>
      </c>
      <c r="U820" t="s">
        <v>2426</v>
      </c>
      <c r="W820">
        <v>1687.5</v>
      </c>
      <c r="X820" t="b">
        <v>0</v>
      </c>
    </row>
    <row r="821" spans="1:24" x14ac:dyDescent="0.25">
      <c r="A821">
        <v>820</v>
      </c>
      <c r="B821" t="s">
        <v>2427</v>
      </c>
      <c r="C821">
        <v>6</v>
      </c>
      <c r="D821">
        <v>50</v>
      </c>
      <c r="E821">
        <v>99</v>
      </c>
      <c r="F821">
        <v>1</v>
      </c>
      <c r="G821">
        <v>2</v>
      </c>
      <c r="H821">
        <v>2</v>
      </c>
      <c r="I821" t="s">
        <v>112</v>
      </c>
      <c r="J821">
        <v>1529</v>
      </c>
      <c r="K821">
        <v>3823</v>
      </c>
      <c r="L821">
        <v>1</v>
      </c>
      <c r="M821">
        <v>716</v>
      </c>
      <c r="N821">
        <v>1504</v>
      </c>
      <c r="O821">
        <v>1</v>
      </c>
      <c r="P821">
        <v>0</v>
      </c>
      <c r="Q821">
        <v>0</v>
      </c>
      <c r="R821">
        <v>1</v>
      </c>
      <c r="S821">
        <v>5000000</v>
      </c>
      <c r="T821" t="s">
        <v>2425</v>
      </c>
      <c r="U821" t="s">
        <v>2426</v>
      </c>
      <c r="V821" t="s">
        <v>1446</v>
      </c>
      <c r="W821">
        <v>2100</v>
      </c>
      <c r="X821" t="b">
        <v>0</v>
      </c>
    </row>
    <row r="822" spans="1:24" x14ac:dyDescent="0.25">
      <c r="A822">
        <v>821</v>
      </c>
      <c r="B822" t="s">
        <v>1899</v>
      </c>
      <c r="C822">
        <v>6</v>
      </c>
      <c r="D822">
        <v>30</v>
      </c>
      <c r="E822">
        <v>99</v>
      </c>
      <c r="F822">
        <v>3</v>
      </c>
      <c r="G822">
        <v>3</v>
      </c>
      <c r="H822">
        <v>1</v>
      </c>
      <c r="I822" t="s">
        <v>112</v>
      </c>
      <c r="J822">
        <v>815</v>
      </c>
      <c r="K822">
        <v>2351</v>
      </c>
      <c r="L822">
        <v>1</v>
      </c>
      <c r="M822">
        <v>409</v>
      </c>
      <c r="N822">
        <v>1123</v>
      </c>
      <c r="O822">
        <v>1</v>
      </c>
      <c r="P822">
        <v>280</v>
      </c>
      <c r="Q822">
        <v>420</v>
      </c>
      <c r="R822">
        <v>1</v>
      </c>
      <c r="S822">
        <v>3000000</v>
      </c>
      <c r="T822" t="s">
        <v>945</v>
      </c>
      <c r="U822" t="s">
        <v>1900</v>
      </c>
      <c r="V822" t="s">
        <v>2210</v>
      </c>
      <c r="W822">
        <v>1350</v>
      </c>
      <c r="X822" t="b">
        <v>1</v>
      </c>
    </row>
    <row r="823" spans="1:24" x14ac:dyDescent="0.25">
      <c r="A823">
        <v>822</v>
      </c>
      <c r="B823" t="s">
        <v>2287</v>
      </c>
      <c r="C823">
        <v>6</v>
      </c>
      <c r="D823">
        <v>24</v>
      </c>
      <c r="E823">
        <v>99</v>
      </c>
      <c r="F823">
        <v>0</v>
      </c>
      <c r="G823">
        <v>0</v>
      </c>
      <c r="H823">
        <v>1</v>
      </c>
      <c r="I823" t="s">
        <v>112</v>
      </c>
      <c r="J823">
        <v>1064</v>
      </c>
      <c r="K823">
        <v>2334</v>
      </c>
      <c r="L823">
        <v>1</v>
      </c>
      <c r="M823">
        <v>782</v>
      </c>
      <c r="N823">
        <v>1273</v>
      </c>
      <c r="O823">
        <v>1</v>
      </c>
      <c r="P823">
        <v>259</v>
      </c>
      <c r="Q823">
        <v>389</v>
      </c>
      <c r="R823">
        <v>1</v>
      </c>
      <c r="S823">
        <v>3000000</v>
      </c>
      <c r="T823" t="s">
        <v>1447</v>
      </c>
      <c r="U823" t="s">
        <v>267</v>
      </c>
      <c r="V823" t="s">
        <v>476</v>
      </c>
      <c r="W823">
        <v>1125</v>
      </c>
      <c r="X823" t="b">
        <v>0</v>
      </c>
    </row>
    <row r="824" spans="1:24" x14ac:dyDescent="0.25">
      <c r="A824">
        <v>823</v>
      </c>
      <c r="B824" t="s">
        <v>2288</v>
      </c>
      <c r="C824">
        <v>6</v>
      </c>
      <c r="D824">
        <v>24</v>
      </c>
      <c r="E824">
        <v>99</v>
      </c>
      <c r="F824">
        <v>1</v>
      </c>
      <c r="G824">
        <v>1</v>
      </c>
      <c r="H824">
        <v>1</v>
      </c>
      <c r="I824" t="s">
        <v>112</v>
      </c>
      <c r="J824">
        <v>970</v>
      </c>
      <c r="K824">
        <v>2137</v>
      </c>
      <c r="L824">
        <v>1</v>
      </c>
      <c r="M824">
        <v>835</v>
      </c>
      <c r="N824">
        <v>1353</v>
      </c>
      <c r="O824">
        <v>1</v>
      </c>
      <c r="P824">
        <v>217</v>
      </c>
      <c r="Q824">
        <v>326</v>
      </c>
      <c r="R824">
        <v>1</v>
      </c>
      <c r="S824">
        <v>3000000</v>
      </c>
      <c r="T824" t="s">
        <v>1448</v>
      </c>
      <c r="U824" t="s">
        <v>270</v>
      </c>
      <c r="V824" t="s">
        <v>479</v>
      </c>
      <c r="W824">
        <v>1125</v>
      </c>
      <c r="X824" t="b">
        <v>0</v>
      </c>
    </row>
    <row r="825" spans="1:24" x14ac:dyDescent="0.25">
      <c r="A825">
        <v>824</v>
      </c>
      <c r="B825" t="s">
        <v>2289</v>
      </c>
      <c r="C825">
        <v>6</v>
      </c>
      <c r="D825">
        <v>24</v>
      </c>
      <c r="E825">
        <v>99</v>
      </c>
      <c r="F825">
        <v>2</v>
      </c>
      <c r="G825">
        <v>2</v>
      </c>
      <c r="H825">
        <v>4</v>
      </c>
      <c r="I825">
        <v>1</v>
      </c>
      <c r="J825">
        <v>1018</v>
      </c>
      <c r="K825">
        <v>2238</v>
      </c>
      <c r="L825">
        <v>1</v>
      </c>
      <c r="M825">
        <v>808</v>
      </c>
      <c r="N825">
        <v>1312</v>
      </c>
      <c r="O825">
        <v>1</v>
      </c>
      <c r="P825">
        <v>224</v>
      </c>
      <c r="Q825">
        <v>336</v>
      </c>
      <c r="R825">
        <v>1</v>
      </c>
      <c r="S825">
        <v>3000000</v>
      </c>
      <c r="T825" t="s">
        <v>1449</v>
      </c>
      <c r="U825" t="s">
        <v>273</v>
      </c>
      <c r="V825" t="s">
        <v>482</v>
      </c>
      <c r="W825">
        <v>1125</v>
      </c>
      <c r="X825" t="b">
        <v>0</v>
      </c>
    </row>
    <row r="826" spans="1:24" x14ac:dyDescent="0.25">
      <c r="A826">
        <v>825</v>
      </c>
      <c r="B826" t="s">
        <v>2290</v>
      </c>
      <c r="C826">
        <v>6</v>
      </c>
      <c r="D826">
        <v>24</v>
      </c>
      <c r="E826">
        <v>99</v>
      </c>
      <c r="F826">
        <v>3</v>
      </c>
      <c r="G826">
        <v>3</v>
      </c>
      <c r="H826">
        <v>5</v>
      </c>
      <c r="I826">
        <v>1</v>
      </c>
      <c r="J826">
        <v>990</v>
      </c>
      <c r="K826">
        <v>2179</v>
      </c>
      <c r="L826">
        <v>1</v>
      </c>
      <c r="M826">
        <v>798</v>
      </c>
      <c r="N826">
        <v>1297</v>
      </c>
      <c r="O826">
        <v>1</v>
      </c>
      <c r="P826">
        <v>252</v>
      </c>
      <c r="Q826">
        <v>378</v>
      </c>
      <c r="R826">
        <v>1</v>
      </c>
      <c r="S826">
        <v>3000000</v>
      </c>
      <c r="T826" t="s">
        <v>1450</v>
      </c>
      <c r="U826" t="s">
        <v>276</v>
      </c>
      <c r="V826" t="s">
        <v>485</v>
      </c>
      <c r="W826">
        <v>1125</v>
      </c>
      <c r="X826" t="b">
        <v>0</v>
      </c>
    </row>
    <row r="827" spans="1:24" x14ac:dyDescent="0.25">
      <c r="A827">
        <v>826</v>
      </c>
      <c r="B827" t="s">
        <v>2291</v>
      </c>
      <c r="C827">
        <v>6</v>
      </c>
      <c r="D827">
        <v>24</v>
      </c>
      <c r="E827">
        <v>99</v>
      </c>
      <c r="F827">
        <v>4</v>
      </c>
      <c r="G827">
        <v>4</v>
      </c>
      <c r="H827">
        <v>4</v>
      </c>
      <c r="I827">
        <v>1</v>
      </c>
      <c r="J827">
        <v>1046</v>
      </c>
      <c r="K827">
        <v>2297</v>
      </c>
      <c r="L827">
        <v>1</v>
      </c>
      <c r="M827">
        <v>824</v>
      </c>
      <c r="N827">
        <v>1336</v>
      </c>
      <c r="O827">
        <v>1</v>
      </c>
      <c r="P827">
        <v>210</v>
      </c>
      <c r="Q827">
        <v>315</v>
      </c>
      <c r="R827">
        <v>1</v>
      </c>
      <c r="S827">
        <v>3000000</v>
      </c>
      <c r="T827" t="s">
        <v>1451</v>
      </c>
      <c r="U827" t="s">
        <v>281</v>
      </c>
      <c r="V827" t="s">
        <v>488</v>
      </c>
      <c r="W827">
        <v>1125</v>
      </c>
      <c r="X827" t="b">
        <v>0</v>
      </c>
    </row>
    <row r="828" spans="1:24" x14ac:dyDescent="0.25">
      <c r="A828">
        <v>827</v>
      </c>
      <c r="B828" t="s">
        <v>1452</v>
      </c>
      <c r="C828">
        <v>3</v>
      </c>
      <c r="D828">
        <v>7</v>
      </c>
      <c r="E828">
        <v>25</v>
      </c>
      <c r="F828">
        <v>3</v>
      </c>
      <c r="G828" t="s">
        <v>112</v>
      </c>
      <c r="H828">
        <v>2</v>
      </c>
      <c r="I828" t="s">
        <v>112</v>
      </c>
      <c r="J828">
        <v>241</v>
      </c>
      <c r="K828">
        <v>1085</v>
      </c>
      <c r="L828">
        <v>1</v>
      </c>
      <c r="M828">
        <v>92</v>
      </c>
      <c r="N828">
        <v>414</v>
      </c>
      <c r="O828">
        <v>1</v>
      </c>
      <c r="P828">
        <v>3</v>
      </c>
      <c r="Q828">
        <v>6</v>
      </c>
      <c r="R828">
        <v>1</v>
      </c>
      <c r="S828">
        <v>2000000</v>
      </c>
      <c r="T828" t="s">
        <v>218</v>
      </c>
      <c r="U828" t="s">
        <v>112</v>
      </c>
      <c r="W828">
        <v>375</v>
      </c>
      <c r="X828" t="b">
        <v>0</v>
      </c>
    </row>
    <row r="829" spans="1:24" x14ac:dyDescent="0.25">
      <c r="A829">
        <v>828</v>
      </c>
      <c r="B829" t="s">
        <v>1453</v>
      </c>
      <c r="C829">
        <v>4</v>
      </c>
      <c r="D829">
        <v>11</v>
      </c>
      <c r="E829">
        <v>70</v>
      </c>
      <c r="F829">
        <v>3</v>
      </c>
      <c r="G829" t="s">
        <v>112</v>
      </c>
      <c r="H829">
        <v>2</v>
      </c>
      <c r="I829" t="s">
        <v>112</v>
      </c>
      <c r="J829">
        <v>868</v>
      </c>
      <c r="K829">
        <v>2170</v>
      </c>
      <c r="L829">
        <v>1</v>
      </c>
      <c r="M829">
        <v>373</v>
      </c>
      <c r="N829">
        <v>1033</v>
      </c>
      <c r="O829">
        <v>1</v>
      </c>
      <c r="P829">
        <v>5</v>
      </c>
      <c r="Q829">
        <v>11</v>
      </c>
      <c r="R829">
        <v>1</v>
      </c>
      <c r="S829">
        <v>2000000</v>
      </c>
      <c r="T829" t="s">
        <v>218</v>
      </c>
      <c r="U829" t="s">
        <v>1101</v>
      </c>
      <c r="V829" t="s">
        <v>220</v>
      </c>
      <c r="W829">
        <v>562.5</v>
      </c>
      <c r="X829" t="b">
        <v>0</v>
      </c>
    </row>
    <row r="830" spans="1:24" x14ac:dyDescent="0.25">
      <c r="A830">
        <v>829</v>
      </c>
      <c r="B830" t="s">
        <v>1454</v>
      </c>
      <c r="C830">
        <v>3</v>
      </c>
      <c r="D830">
        <v>7</v>
      </c>
      <c r="E830">
        <v>25</v>
      </c>
      <c r="F830">
        <v>4</v>
      </c>
      <c r="G830" t="s">
        <v>112</v>
      </c>
      <c r="H830">
        <v>2</v>
      </c>
      <c r="I830" t="s">
        <v>112</v>
      </c>
      <c r="J830">
        <v>245</v>
      </c>
      <c r="K830">
        <v>1103</v>
      </c>
      <c r="L830">
        <v>1</v>
      </c>
      <c r="M830">
        <v>93</v>
      </c>
      <c r="N830">
        <v>419</v>
      </c>
      <c r="O830">
        <v>1</v>
      </c>
      <c r="P830">
        <v>2</v>
      </c>
      <c r="Q830">
        <v>4</v>
      </c>
      <c r="R830">
        <v>1</v>
      </c>
      <c r="S830">
        <v>2000000</v>
      </c>
      <c r="T830" t="s">
        <v>218</v>
      </c>
      <c r="U830" t="s">
        <v>112</v>
      </c>
      <c r="W830">
        <v>375</v>
      </c>
      <c r="X830" t="b">
        <v>0</v>
      </c>
    </row>
    <row r="831" spans="1:24" x14ac:dyDescent="0.25">
      <c r="A831">
        <v>830</v>
      </c>
      <c r="B831" t="s">
        <v>1455</v>
      </c>
      <c r="C831">
        <v>4</v>
      </c>
      <c r="D831">
        <v>11</v>
      </c>
      <c r="E831">
        <v>70</v>
      </c>
      <c r="F831">
        <v>4</v>
      </c>
      <c r="G831" t="s">
        <v>112</v>
      </c>
      <c r="H831">
        <v>2</v>
      </c>
      <c r="I831" t="s">
        <v>112</v>
      </c>
      <c r="J831">
        <v>882</v>
      </c>
      <c r="K831">
        <v>2205</v>
      </c>
      <c r="L831">
        <v>1</v>
      </c>
      <c r="M831">
        <v>377</v>
      </c>
      <c r="N831">
        <v>1043</v>
      </c>
      <c r="O831">
        <v>1</v>
      </c>
      <c r="P831">
        <v>4</v>
      </c>
      <c r="Q831">
        <v>8</v>
      </c>
      <c r="R831">
        <v>1</v>
      </c>
      <c r="S831">
        <v>2000000</v>
      </c>
      <c r="T831" t="s">
        <v>218</v>
      </c>
      <c r="U831" t="s">
        <v>1105</v>
      </c>
      <c r="V831" t="s">
        <v>220</v>
      </c>
      <c r="W831">
        <v>562.5</v>
      </c>
      <c r="X831" t="b">
        <v>0</v>
      </c>
    </row>
    <row r="832" spans="1:24" x14ac:dyDescent="0.25">
      <c r="A832">
        <v>831</v>
      </c>
      <c r="B832" t="s">
        <v>1456</v>
      </c>
      <c r="C832">
        <v>6</v>
      </c>
      <c r="D832">
        <v>25</v>
      </c>
      <c r="E832">
        <v>99</v>
      </c>
      <c r="F832">
        <v>2</v>
      </c>
      <c r="G832">
        <v>1</v>
      </c>
      <c r="H832">
        <v>2</v>
      </c>
      <c r="I832">
        <v>4</v>
      </c>
      <c r="J832">
        <v>360</v>
      </c>
      <c r="K832">
        <v>3060</v>
      </c>
      <c r="L832">
        <v>1</v>
      </c>
      <c r="M832">
        <v>360</v>
      </c>
      <c r="N832">
        <v>820</v>
      </c>
      <c r="O832">
        <v>1</v>
      </c>
      <c r="P832">
        <v>36</v>
      </c>
      <c r="Q832">
        <v>360</v>
      </c>
      <c r="R832">
        <v>1</v>
      </c>
      <c r="S832">
        <v>3000000</v>
      </c>
      <c r="T832" t="s">
        <v>1457</v>
      </c>
      <c r="U832" t="s">
        <v>1458</v>
      </c>
      <c r="V832" t="s">
        <v>2240</v>
      </c>
      <c r="W832">
        <v>1162.5</v>
      </c>
      <c r="X832" t="b">
        <v>0</v>
      </c>
    </row>
    <row r="833" spans="1:24" x14ac:dyDescent="0.25">
      <c r="A833">
        <v>832</v>
      </c>
      <c r="B833" t="s">
        <v>2607</v>
      </c>
      <c r="C833">
        <v>2</v>
      </c>
      <c r="D833">
        <v>5</v>
      </c>
      <c r="E833">
        <v>15</v>
      </c>
      <c r="F833">
        <v>1</v>
      </c>
      <c r="G833" t="s">
        <v>112</v>
      </c>
      <c r="H833">
        <v>2</v>
      </c>
      <c r="I833" t="s">
        <v>112</v>
      </c>
      <c r="J833">
        <v>99</v>
      </c>
      <c r="K833">
        <v>446</v>
      </c>
      <c r="L833">
        <v>1</v>
      </c>
      <c r="M833">
        <v>22</v>
      </c>
      <c r="N833">
        <v>99</v>
      </c>
      <c r="O833">
        <v>1</v>
      </c>
      <c r="P833">
        <v>5</v>
      </c>
      <c r="Q833">
        <v>11</v>
      </c>
      <c r="R833">
        <v>1</v>
      </c>
      <c r="S833">
        <v>1000000</v>
      </c>
      <c r="T833" t="s">
        <v>112</v>
      </c>
      <c r="U833" t="s">
        <v>112</v>
      </c>
      <c r="W833">
        <v>262.5</v>
      </c>
      <c r="X833" t="b">
        <v>0</v>
      </c>
    </row>
    <row r="834" spans="1:24" x14ac:dyDescent="0.25">
      <c r="A834">
        <v>833</v>
      </c>
      <c r="B834" t="s">
        <v>2608</v>
      </c>
      <c r="C834">
        <v>3</v>
      </c>
      <c r="D834">
        <v>10</v>
      </c>
      <c r="E834">
        <v>25</v>
      </c>
      <c r="F834">
        <v>1</v>
      </c>
      <c r="G834" t="s">
        <v>112</v>
      </c>
      <c r="H834">
        <v>2</v>
      </c>
      <c r="I834" t="s">
        <v>112</v>
      </c>
      <c r="J834">
        <v>357</v>
      </c>
      <c r="K834">
        <v>893</v>
      </c>
      <c r="L834">
        <v>1</v>
      </c>
      <c r="M834">
        <v>89</v>
      </c>
      <c r="N834">
        <v>223</v>
      </c>
      <c r="O834">
        <v>1</v>
      </c>
      <c r="P834">
        <v>10</v>
      </c>
      <c r="Q834">
        <v>21</v>
      </c>
      <c r="R834">
        <v>1</v>
      </c>
      <c r="S834">
        <v>1500000</v>
      </c>
      <c r="T834" t="s">
        <v>2609</v>
      </c>
      <c r="U834" t="s">
        <v>112</v>
      </c>
      <c r="W834">
        <v>487.5</v>
      </c>
      <c r="X834" t="b">
        <v>0</v>
      </c>
    </row>
    <row r="835" spans="1:24" x14ac:dyDescent="0.25">
      <c r="A835">
        <v>834</v>
      </c>
      <c r="B835" t="s">
        <v>2610</v>
      </c>
      <c r="C835">
        <v>4</v>
      </c>
      <c r="D835">
        <v>12</v>
      </c>
      <c r="E835">
        <v>70</v>
      </c>
      <c r="F835">
        <v>1</v>
      </c>
      <c r="G835" t="s">
        <v>112</v>
      </c>
      <c r="H835">
        <v>2</v>
      </c>
      <c r="I835" t="s">
        <v>112</v>
      </c>
      <c r="J835">
        <v>714</v>
      </c>
      <c r="K835">
        <v>1785</v>
      </c>
      <c r="L835">
        <v>1</v>
      </c>
      <c r="M835">
        <v>201</v>
      </c>
      <c r="N835">
        <v>503</v>
      </c>
      <c r="O835">
        <v>1</v>
      </c>
      <c r="P835">
        <v>19</v>
      </c>
      <c r="Q835">
        <v>40</v>
      </c>
      <c r="R835">
        <v>1</v>
      </c>
      <c r="S835">
        <v>3000000</v>
      </c>
      <c r="T835" t="s">
        <v>2611</v>
      </c>
      <c r="U835" t="s">
        <v>2612</v>
      </c>
      <c r="W835">
        <v>600</v>
      </c>
      <c r="X835" t="b">
        <v>0</v>
      </c>
    </row>
    <row r="836" spans="1:24" x14ac:dyDescent="0.25">
      <c r="A836">
        <v>835</v>
      </c>
      <c r="B836" t="s">
        <v>2613</v>
      </c>
      <c r="C836">
        <v>5</v>
      </c>
      <c r="D836">
        <v>20</v>
      </c>
      <c r="E836">
        <v>99</v>
      </c>
      <c r="F836">
        <v>1</v>
      </c>
      <c r="G836">
        <v>1</v>
      </c>
      <c r="H836">
        <v>2</v>
      </c>
      <c r="I836" t="s">
        <v>112</v>
      </c>
      <c r="J836">
        <v>1428</v>
      </c>
      <c r="K836">
        <v>3170</v>
      </c>
      <c r="L836">
        <v>1</v>
      </c>
      <c r="M836">
        <v>453</v>
      </c>
      <c r="N836">
        <v>1133</v>
      </c>
      <c r="O836">
        <v>1</v>
      </c>
      <c r="P836">
        <v>36</v>
      </c>
      <c r="Q836">
        <v>76</v>
      </c>
      <c r="R836">
        <v>1</v>
      </c>
      <c r="S836">
        <v>4000000</v>
      </c>
      <c r="T836" t="s">
        <v>2614</v>
      </c>
      <c r="U836" t="s">
        <v>2612</v>
      </c>
      <c r="V836" t="s">
        <v>1459</v>
      </c>
      <c r="W836">
        <v>937.5</v>
      </c>
      <c r="X836" t="b">
        <v>0</v>
      </c>
    </row>
    <row r="837" spans="1:24" x14ac:dyDescent="0.25">
      <c r="A837">
        <v>836</v>
      </c>
      <c r="B837" t="s">
        <v>2615</v>
      </c>
      <c r="C837">
        <v>3</v>
      </c>
      <c r="D837">
        <v>8</v>
      </c>
      <c r="E837">
        <v>25</v>
      </c>
      <c r="F837">
        <v>3</v>
      </c>
      <c r="G837" t="s">
        <v>112</v>
      </c>
      <c r="H837">
        <v>6</v>
      </c>
      <c r="I837" t="s">
        <v>112</v>
      </c>
      <c r="J837">
        <v>103</v>
      </c>
      <c r="K837">
        <v>464</v>
      </c>
      <c r="L837">
        <v>1</v>
      </c>
      <c r="M837">
        <v>144</v>
      </c>
      <c r="N837">
        <v>648</v>
      </c>
      <c r="O837">
        <v>1</v>
      </c>
      <c r="P837">
        <v>25</v>
      </c>
      <c r="Q837">
        <v>53</v>
      </c>
      <c r="R837">
        <v>1</v>
      </c>
      <c r="S837">
        <v>1500000</v>
      </c>
      <c r="T837" t="s">
        <v>112</v>
      </c>
      <c r="U837" t="s">
        <v>112</v>
      </c>
      <c r="W837">
        <v>412.5</v>
      </c>
      <c r="X837" t="b">
        <v>0</v>
      </c>
    </row>
    <row r="838" spans="1:24" x14ac:dyDescent="0.25">
      <c r="A838">
        <v>837</v>
      </c>
      <c r="B838" t="s">
        <v>2616</v>
      </c>
      <c r="C838">
        <v>4</v>
      </c>
      <c r="D838">
        <v>12</v>
      </c>
      <c r="E838">
        <v>70</v>
      </c>
      <c r="F838">
        <v>3</v>
      </c>
      <c r="G838" t="s">
        <v>112</v>
      </c>
      <c r="H838">
        <v>6</v>
      </c>
      <c r="I838" t="s">
        <v>112</v>
      </c>
      <c r="J838">
        <v>371</v>
      </c>
      <c r="K838">
        <v>928</v>
      </c>
      <c r="L838">
        <v>1</v>
      </c>
      <c r="M838">
        <v>583</v>
      </c>
      <c r="N838">
        <v>1458</v>
      </c>
      <c r="O838">
        <v>1</v>
      </c>
      <c r="P838">
        <v>48</v>
      </c>
      <c r="Q838">
        <v>101</v>
      </c>
      <c r="R838">
        <v>1</v>
      </c>
      <c r="S838">
        <v>3000000</v>
      </c>
      <c r="T838" t="s">
        <v>2617</v>
      </c>
      <c r="U838" t="s">
        <v>681</v>
      </c>
      <c r="V838" t="s">
        <v>1460</v>
      </c>
      <c r="W838">
        <v>600</v>
      </c>
      <c r="X838" t="b">
        <v>0</v>
      </c>
    </row>
    <row r="839" spans="1:24" x14ac:dyDescent="0.25">
      <c r="A839">
        <v>838</v>
      </c>
      <c r="B839" t="s">
        <v>2618</v>
      </c>
      <c r="C839">
        <v>3</v>
      </c>
      <c r="D839">
        <v>8</v>
      </c>
      <c r="E839">
        <v>25</v>
      </c>
      <c r="F839">
        <v>0</v>
      </c>
      <c r="G839" t="s">
        <v>112</v>
      </c>
      <c r="H839">
        <v>1</v>
      </c>
      <c r="I839" t="s">
        <v>112</v>
      </c>
      <c r="J839">
        <v>177</v>
      </c>
      <c r="K839">
        <v>797</v>
      </c>
      <c r="L839">
        <v>1</v>
      </c>
      <c r="M839">
        <v>89</v>
      </c>
      <c r="N839">
        <v>401</v>
      </c>
      <c r="O839">
        <v>1</v>
      </c>
      <c r="P839">
        <v>59</v>
      </c>
      <c r="Q839">
        <v>124</v>
      </c>
      <c r="R839">
        <v>1</v>
      </c>
      <c r="S839">
        <v>1500000</v>
      </c>
      <c r="T839" t="s">
        <v>112</v>
      </c>
      <c r="U839" t="s">
        <v>112</v>
      </c>
      <c r="W839">
        <v>412.5</v>
      </c>
      <c r="X839" t="b">
        <v>0</v>
      </c>
    </row>
    <row r="840" spans="1:24" x14ac:dyDescent="0.25">
      <c r="A840">
        <v>839</v>
      </c>
      <c r="B840" t="s">
        <v>2619</v>
      </c>
      <c r="C840">
        <v>4</v>
      </c>
      <c r="D840">
        <v>12</v>
      </c>
      <c r="E840">
        <v>70</v>
      </c>
      <c r="F840">
        <v>0</v>
      </c>
      <c r="G840" t="s">
        <v>112</v>
      </c>
      <c r="H840">
        <v>1</v>
      </c>
      <c r="I840" t="s">
        <v>112</v>
      </c>
      <c r="J840">
        <v>638</v>
      </c>
      <c r="K840">
        <v>1595</v>
      </c>
      <c r="L840">
        <v>1</v>
      </c>
      <c r="M840">
        <v>361</v>
      </c>
      <c r="N840">
        <v>903</v>
      </c>
      <c r="O840">
        <v>1</v>
      </c>
      <c r="P840">
        <v>112</v>
      </c>
      <c r="Q840">
        <v>235</v>
      </c>
      <c r="R840">
        <v>1</v>
      </c>
      <c r="S840">
        <v>3000000</v>
      </c>
      <c r="T840" t="s">
        <v>2620</v>
      </c>
      <c r="U840" t="s">
        <v>760</v>
      </c>
      <c r="V840" t="s">
        <v>1461</v>
      </c>
      <c r="W840">
        <v>600</v>
      </c>
      <c r="X840" t="b">
        <v>0</v>
      </c>
    </row>
    <row r="841" spans="1:24" x14ac:dyDescent="0.25">
      <c r="A841">
        <v>840</v>
      </c>
      <c r="B841" t="s">
        <v>2621</v>
      </c>
      <c r="C841">
        <v>5</v>
      </c>
      <c r="D841">
        <v>15</v>
      </c>
      <c r="E841">
        <v>50</v>
      </c>
      <c r="F841">
        <v>2</v>
      </c>
      <c r="G841" t="s">
        <v>112</v>
      </c>
      <c r="H841">
        <v>5</v>
      </c>
      <c r="I841" t="s">
        <v>112</v>
      </c>
      <c r="J841">
        <v>289</v>
      </c>
      <c r="K841">
        <v>1301</v>
      </c>
      <c r="L841">
        <v>1</v>
      </c>
      <c r="M841">
        <v>95</v>
      </c>
      <c r="N841">
        <v>428</v>
      </c>
      <c r="O841">
        <v>1</v>
      </c>
      <c r="P841">
        <v>107</v>
      </c>
      <c r="Q841">
        <v>225</v>
      </c>
      <c r="R841">
        <v>1</v>
      </c>
      <c r="S841">
        <v>4000000</v>
      </c>
      <c r="T841" t="s">
        <v>2622</v>
      </c>
      <c r="U841" t="s">
        <v>2623</v>
      </c>
      <c r="W841">
        <v>750</v>
      </c>
      <c r="X841" t="b">
        <v>0</v>
      </c>
    </row>
    <row r="842" spans="1:24" x14ac:dyDescent="0.25">
      <c r="A842">
        <v>841</v>
      </c>
      <c r="B842" t="s">
        <v>2624</v>
      </c>
      <c r="C842">
        <v>6</v>
      </c>
      <c r="D842">
        <v>25</v>
      </c>
      <c r="E842">
        <v>99</v>
      </c>
      <c r="F842">
        <v>2</v>
      </c>
      <c r="G842">
        <v>3</v>
      </c>
      <c r="H842">
        <v>5</v>
      </c>
      <c r="I842" t="s">
        <v>112</v>
      </c>
      <c r="J842">
        <v>1041</v>
      </c>
      <c r="K842">
        <v>2603</v>
      </c>
      <c r="L842">
        <v>1</v>
      </c>
      <c r="M842">
        <v>385</v>
      </c>
      <c r="N842">
        <v>963</v>
      </c>
      <c r="O842">
        <v>1</v>
      </c>
      <c r="P842">
        <v>203</v>
      </c>
      <c r="Q842">
        <v>426</v>
      </c>
      <c r="R842">
        <v>1</v>
      </c>
      <c r="S842">
        <v>4000000</v>
      </c>
      <c r="T842" t="s">
        <v>2622</v>
      </c>
      <c r="U842" t="s">
        <v>2623</v>
      </c>
      <c r="V842" t="s">
        <v>1462</v>
      </c>
      <c r="W842">
        <v>1162.5</v>
      </c>
      <c r="X842" t="b">
        <v>0</v>
      </c>
    </row>
    <row r="843" spans="1:24" x14ac:dyDescent="0.25">
      <c r="A843">
        <v>842</v>
      </c>
      <c r="B843" t="s">
        <v>1901</v>
      </c>
      <c r="C843">
        <v>5</v>
      </c>
      <c r="D843">
        <v>20</v>
      </c>
      <c r="E843">
        <v>50</v>
      </c>
      <c r="F843">
        <v>0</v>
      </c>
      <c r="G843" t="s">
        <v>112</v>
      </c>
      <c r="H843">
        <v>4</v>
      </c>
      <c r="I843" t="s">
        <v>112</v>
      </c>
      <c r="J843">
        <v>282</v>
      </c>
      <c r="K843">
        <v>1269</v>
      </c>
      <c r="L843">
        <v>1</v>
      </c>
      <c r="M843">
        <v>151</v>
      </c>
      <c r="N843">
        <v>680</v>
      </c>
      <c r="O843">
        <v>1</v>
      </c>
      <c r="P843">
        <v>32</v>
      </c>
      <c r="Q843">
        <v>67</v>
      </c>
      <c r="R843">
        <v>1</v>
      </c>
      <c r="S843">
        <v>4000000</v>
      </c>
      <c r="T843" t="s">
        <v>1902</v>
      </c>
      <c r="U843" t="s">
        <v>1903</v>
      </c>
      <c r="W843">
        <v>937.5</v>
      </c>
      <c r="X843" t="b">
        <v>1</v>
      </c>
    </row>
    <row r="844" spans="1:24" x14ac:dyDescent="0.25">
      <c r="A844">
        <v>843</v>
      </c>
      <c r="B844" t="s">
        <v>1904</v>
      </c>
      <c r="C844">
        <v>6</v>
      </c>
      <c r="D844">
        <v>30</v>
      </c>
      <c r="E844">
        <v>99</v>
      </c>
      <c r="F844">
        <v>0</v>
      </c>
      <c r="G844" t="s">
        <v>112</v>
      </c>
      <c r="H844">
        <v>4</v>
      </c>
      <c r="I844">
        <v>6</v>
      </c>
      <c r="J844">
        <v>1015</v>
      </c>
      <c r="K844">
        <v>2538</v>
      </c>
      <c r="L844">
        <v>1</v>
      </c>
      <c r="M844">
        <v>612</v>
      </c>
      <c r="N844">
        <v>1730</v>
      </c>
      <c r="O844">
        <v>1</v>
      </c>
      <c r="P844">
        <v>60</v>
      </c>
      <c r="Q844">
        <v>126</v>
      </c>
      <c r="R844">
        <v>1</v>
      </c>
      <c r="S844">
        <v>4000000</v>
      </c>
      <c r="T844" t="s">
        <v>1905</v>
      </c>
      <c r="U844" t="s">
        <v>1903</v>
      </c>
      <c r="V844" t="s">
        <v>2292</v>
      </c>
      <c r="W844">
        <v>1350</v>
      </c>
      <c r="X844" t="b">
        <v>1</v>
      </c>
    </row>
    <row r="845" spans="1:24" x14ac:dyDescent="0.25">
      <c r="A845">
        <v>844</v>
      </c>
      <c r="B845" t="s">
        <v>1906</v>
      </c>
      <c r="C845">
        <v>3</v>
      </c>
      <c r="D845">
        <v>6</v>
      </c>
      <c r="E845">
        <v>25</v>
      </c>
      <c r="F845">
        <v>1</v>
      </c>
      <c r="G845" t="s">
        <v>112</v>
      </c>
      <c r="H845">
        <v>6</v>
      </c>
      <c r="I845" t="s">
        <v>112</v>
      </c>
      <c r="J845">
        <v>120</v>
      </c>
      <c r="K845">
        <v>540</v>
      </c>
      <c r="L845">
        <v>1</v>
      </c>
      <c r="M845">
        <v>136</v>
      </c>
      <c r="N845">
        <v>612</v>
      </c>
      <c r="O845">
        <v>1</v>
      </c>
      <c r="P845">
        <v>35</v>
      </c>
      <c r="Q845">
        <v>74</v>
      </c>
      <c r="R845">
        <v>1</v>
      </c>
      <c r="S845">
        <v>1500000</v>
      </c>
      <c r="T845" t="s">
        <v>1907</v>
      </c>
      <c r="U845" t="s">
        <v>112</v>
      </c>
      <c r="W845">
        <v>337.5</v>
      </c>
      <c r="X845" t="b">
        <v>1</v>
      </c>
    </row>
    <row r="846" spans="1:24" x14ac:dyDescent="0.25">
      <c r="A846">
        <v>845</v>
      </c>
      <c r="B846" t="s">
        <v>1908</v>
      </c>
      <c r="C846">
        <v>4</v>
      </c>
      <c r="D846">
        <v>12</v>
      </c>
      <c r="E846">
        <v>70</v>
      </c>
      <c r="F846">
        <v>1</v>
      </c>
      <c r="G846" t="s">
        <v>112</v>
      </c>
      <c r="H846">
        <v>6</v>
      </c>
      <c r="I846" t="s">
        <v>112</v>
      </c>
      <c r="J846">
        <v>432</v>
      </c>
      <c r="K846">
        <v>980</v>
      </c>
      <c r="L846">
        <v>1</v>
      </c>
      <c r="M846">
        <v>551</v>
      </c>
      <c r="N846">
        <v>1278</v>
      </c>
      <c r="O846">
        <v>1</v>
      </c>
      <c r="P846">
        <v>67</v>
      </c>
      <c r="Q846">
        <v>141</v>
      </c>
      <c r="R846">
        <v>1</v>
      </c>
      <c r="S846">
        <v>3000000</v>
      </c>
      <c r="T846" t="s">
        <v>1907</v>
      </c>
      <c r="U846" t="s">
        <v>1072</v>
      </c>
      <c r="V846" t="s">
        <v>2211</v>
      </c>
      <c r="W846">
        <v>600</v>
      </c>
      <c r="X846" t="b">
        <v>1</v>
      </c>
    </row>
    <row r="847" spans="1:24" x14ac:dyDescent="0.25">
      <c r="A847">
        <v>846</v>
      </c>
      <c r="B847" t="s">
        <v>1909</v>
      </c>
      <c r="C847">
        <v>3</v>
      </c>
      <c r="D847">
        <v>6</v>
      </c>
      <c r="E847">
        <v>25</v>
      </c>
      <c r="F847">
        <v>2</v>
      </c>
      <c r="G847" t="s">
        <v>112</v>
      </c>
      <c r="H847">
        <v>2</v>
      </c>
      <c r="I847" t="s">
        <v>112</v>
      </c>
      <c r="J847">
        <v>360</v>
      </c>
      <c r="K847">
        <v>1620</v>
      </c>
      <c r="L847">
        <v>1</v>
      </c>
      <c r="M847">
        <v>102</v>
      </c>
      <c r="N847">
        <v>459</v>
      </c>
      <c r="O847">
        <v>1</v>
      </c>
      <c r="P847">
        <v>-300</v>
      </c>
      <c r="Q847">
        <v>-300</v>
      </c>
      <c r="R847">
        <v>1</v>
      </c>
      <c r="S847">
        <v>1500000</v>
      </c>
      <c r="T847" t="s">
        <v>1910</v>
      </c>
      <c r="U847" t="s">
        <v>112</v>
      </c>
      <c r="W847">
        <v>337.5</v>
      </c>
      <c r="X847" t="b">
        <v>1</v>
      </c>
    </row>
    <row r="848" spans="1:24" x14ac:dyDescent="0.25">
      <c r="A848">
        <v>847</v>
      </c>
      <c r="B848" t="s">
        <v>1911</v>
      </c>
      <c r="C848">
        <v>4</v>
      </c>
      <c r="D848">
        <v>12</v>
      </c>
      <c r="E848">
        <v>70</v>
      </c>
      <c r="F848">
        <v>2</v>
      </c>
      <c r="G848" t="s">
        <v>112</v>
      </c>
      <c r="H848">
        <v>2</v>
      </c>
      <c r="I848" t="s">
        <v>112</v>
      </c>
      <c r="J848">
        <v>1296</v>
      </c>
      <c r="K848">
        <v>3240</v>
      </c>
      <c r="L848">
        <v>1</v>
      </c>
      <c r="M848">
        <v>413</v>
      </c>
      <c r="N848">
        <v>933</v>
      </c>
      <c r="O848">
        <v>1</v>
      </c>
      <c r="P848">
        <v>-300</v>
      </c>
      <c r="Q848">
        <v>-300</v>
      </c>
      <c r="R848">
        <v>1</v>
      </c>
      <c r="S848">
        <v>3000000</v>
      </c>
      <c r="T848" t="s">
        <v>1910</v>
      </c>
      <c r="U848" t="s">
        <v>676</v>
      </c>
      <c r="V848" t="s">
        <v>2212</v>
      </c>
      <c r="W848">
        <v>600</v>
      </c>
      <c r="X848" t="b">
        <v>1</v>
      </c>
    </row>
    <row r="849" spans="1:24" x14ac:dyDescent="0.25">
      <c r="A849">
        <v>848</v>
      </c>
      <c r="B849" t="s">
        <v>1912</v>
      </c>
      <c r="C849">
        <v>3</v>
      </c>
      <c r="D849">
        <v>6</v>
      </c>
      <c r="E849">
        <v>25</v>
      </c>
      <c r="F849">
        <v>4</v>
      </c>
      <c r="G849" t="s">
        <v>112</v>
      </c>
      <c r="H849">
        <v>1</v>
      </c>
      <c r="I849" t="s">
        <v>112</v>
      </c>
      <c r="J849">
        <v>166</v>
      </c>
      <c r="K849">
        <v>747</v>
      </c>
      <c r="L849">
        <v>1</v>
      </c>
      <c r="M849">
        <v>95</v>
      </c>
      <c r="N849">
        <v>428</v>
      </c>
      <c r="O849">
        <v>1</v>
      </c>
      <c r="P849">
        <v>66</v>
      </c>
      <c r="Q849">
        <v>139</v>
      </c>
      <c r="R849">
        <v>1</v>
      </c>
      <c r="S849">
        <v>1500000</v>
      </c>
      <c r="T849" t="s">
        <v>1913</v>
      </c>
      <c r="U849" t="s">
        <v>112</v>
      </c>
      <c r="W849">
        <v>337.5</v>
      </c>
      <c r="X849" t="b">
        <v>1</v>
      </c>
    </row>
    <row r="850" spans="1:24" x14ac:dyDescent="0.25">
      <c r="A850">
        <v>849</v>
      </c>
      <c r="B850" t="s">
        <v>1914</v>
      </c>
      <c r="C850">
        <v>4</v>
      </c>
      <c r="D850">
        <v>12</v>
      </c>
      <c r="E850">
        <v>70</v>
      </c>
      <c r="F850">
        <v>4</v>
      </c>
      <c r="G850" t="s">
        <v>112</v>
      </c>
      <c r="H850">
        <v>1</v>
      </c>
      <c r="I850" t="s">
        <v>112</v>
      </c>
      <c r="J850">
        <v>598</v>
      </c>
      <c r="K850">
        <v>1495</v>
      </c>
      <c r="L850">
        <v>1</v>
      </c>
      <c r="M850">
        <v>385</v>
      </c>
      <c r="N850">
        <v>963</v>
      </c>
      <c r="O850">
        <v>1</v>
      </c>
      <c r="P850">
        <v>125</v>
      </c>
      <c r="Q850">
        <v>263</v>
      </c>
      <c r="R850">
        <v>1</v>
      </c>
      <c r="S850">
        <v>3000000</v>
      </c>
      <c r="T850" t="s">
        <v>1913</v>
      </c>
      <c r="U850" t="s">
        <v>2181</v>
      </c>
      <c r="V850" t="s">
        <v>2213</v>
      </c>
      <c r="W850">
        <v>600</v>
      </c>
      <c r="X850" t="b">
        <v>1</v>
      </c>
    </row>
    <row r="851" spans="1:24" x14ac:dyDescent="0.25">
      <c r="A851">
        <v>850</v>
      </c>
      <c r="B851" t="s">
        <v>1915</v>
      </c>
      <c r="C851">
        <v>4</v>
      </c>
      <c r="D851">
        <v>12</v>
      </c>
      <c r="E851">
        <v>25</v>
      </c>
      <c r="F851">
        <v>3</v>
      </c>
      <c r="G851" t="s">
        <v>112</v>
      </c>
      <c r="H851">
        <v>2</v>
      </c>
      <c r="I851" t="s">
        <v>112</v>
      </c>
      <c r="J851">
        <v>331</v>
      </c>
      <c r="K851">
        <v>1490</v>
      </c>
      <c r="L851">
        <v>1</v>
      </c>
      <c r="M851">
        <v>119</v>
      </c>
      <c r="N851">
        <v>536</v>
      </c>
      <c r="O851">
        <v>1</v>
      </c>
      <c r="P851">
        <v>12</v>
      </c>
      <c r="Q851">
        <v>25</v>
      </c>
      <c r="R851">
        <v>1</v>
      </c>
      <c r="S851">
        <v>1500000</v>
      </c>
      <c r="T851" t="s">
        <v>1916</v>
      </c>
      <c r="U851" t="s">
        <v>1180</v>
      </c>
      <c r="W851">
        <v>600</v>
      </c>
      <c r="X851" t="b">
        <v>1</v>
      </c>
    </row>
    <row r="852" spans="1:24" x14ac:dyDescent="0.25">
      <c r="A852">
        <v>851</v>
      </c>
      <c r="B852" t="s">
        <v>1917</v>
      </c>
      <c r="C852">
        <v>5</v>
      </c>
      <c r="D852">
        <v>20</v>
      </c>
      <c r="E852">
        <v>99</v>
      </c>
      <c r="F852">
        <v>3</v>
      </c>
      <c r="G852">
        <v>1</v>
      </c>
      <c r="H852">
        <v>2</v>
      </c>
      <c r="I852" t="s">
        <v>112</v>
      </c>
      <c r="J852">
        <v>1192</v>
      </c>
      <c r="K852">
        <v>2980</v>
      </c>
      <c r="L852">
        <v>1</v>
      </c>
      <c r="M852">
        <v>482</v>
      </c>
      <c r="N852">
        <v>1205</v>
      </c>
      <c r="O852">
        <v>1</v>
      </c>
      <c r="P852">
        <v>23</v>
      </c>
      <c r="Q852">
        <v>48</v>
      </c>
      <c r="R852">
        <v>1</v>
      </c>
      <c r="S852">
        <v>3000000</v>
      </c>
      <c r="T852" t="s">
        <v>1916</v>
      </c>
      <c r="U852" t="s">
        <v>1180</v>
      </c>
      <c r="V852" t="s">
        <v>2293</v>
      </c>
      <c r="W852">
        <v>937.5</v>
      </c>
      <c r="X852" t="b">
        <v>1</v>
      </c>
    </row>
    <row r="853" spans="1:24" x14ac:dyDescent="0.25">
      <c r="A853">
        <v>852</v>
      </c>
      <c r="B853" t="s">
        <v>1918</v>
      </c>
      <c r="C853">
        <v>3</v>
      </c>
      <c r="D853">
        <v>8</v>
      </c>
      <c r="E853">
        <v>25</v>
      </c>
      <c r="F853">
        <v>0</v>
      </c>
      <c r="G853" t="s">
        <v>112</v>
      </c>
      <c r="H853">
        <v>1</v>
      </c>
      <c r="I853" t="s">
        <v>112</v>
      </c>
      <c r="J853">
        <v>219</v>
      </c>
      <c r="K853">
        <v>888</v>
      </c>
      <c r="L853">
        <v>1</v>
      </c>
      <c r="M853">
        <v>125</v>
      </c>
      <c r="N853">
        <v>507</v>
      </c>
      <c r="O853">
        <v>1</v>
      </c>
      <c r="P853">
        <v>79</v>
      </c>
      <c r="Q853">
        <v>150</v>
      </c>
      <c r="R853">
        <v>1</v>
      </c>
      <c r="S853">
        <v>1500000</v>
      </c>
      <c r="T853" t="s">
        <v>1919</v>
      </c>
      <c r="U853" t="s">
        <v>112</v>
      </c>
      <c r="W853">
        <v>412.5</v>
      </c>
      <c r="X853" t="b">
        <v>1</v>
      </c>
    </row>
    <row r="854" spans="1:24" x14ac:dyDescent="0.25">
      <c r="A854">
        <v>853</v>
      </c>
      <c r="B854" t="s">
        <v>1920</v>
      </c>
      <c r="C854">
        <v>4</v>
      </c>
      <c r="D854">
        <v>12</v>
      </c>
      <c r="E854">
        <v>70</v>
      </c>
      <c r="F854">
        <v>0</v>
      </c>
      <c r="G854">
        <v>4</v>
      </c>
      <c r="H854">
        <v>1</v>
      </c>
      <c r="I854" t="s">
        <v>112</v>
      </c>
      <c r="J854">
        <v>769</v>
      </c>
      <c r="K854">
        <v>1776</v>
      </c>
      <c r="L854">
        <v>1</v>
      </c>
      <c r="M854">
        <v>457</v>
      </c>
      <c r="N854">
        <v>1142</v>
      </c>
      <c r="O854">
        <v>1</v>
      </c>
      <c r="P854">
        <v>142</v>
      </c>
      <c r="Q854">
        <v>282</v>
      </c>
      <c r="R854">
        <v>1</v>
      </c>
      <c r="S854">
        <v>3000000</v>
      </c>
      <c r="T854" t="s">
        <v>1919</v>
      </c>
      <c r="U854" t="s">
        <v>1157</v>
      </c>
      <c r="V854" t="s">
        <v>2294</v>
      </c>
      <c r="W854">
        <v>600</v>
      </c>
      <c r="X854" t="b">
        <v>1</v>
      </c>
    </row>
    <row r="855" spans="1:24" x14ac:dyDescent="0.25">
      <c r="A855">
        <v>854</v>
      </c>
      <c r="B855" t="s">
        <v>1921</v>
      </c>
      <c r="C855">
        <v>4</v>
      </c>
      <c r="D855">
        <v>10</v>
      </c>
      <c r="E855">
        <v>50</v>
      </c>
      <c r="F855">
        <v>4</v>
      </c>
      <c r="G855" t="s">
        <v>112</v>
      </c>
      <c r="H855">
        <v>6</v>
      </c>
      <c r="I855" t="s">
        <v>112</v>
      </c>
      <c r="J855">
        <v>301</v>
      </c>
      <c r="K855">
        <v>1355</v>
      </c>
      <c r="L855">
        <v>1</v>
      </c>
      <c r="M855">
        <v>154</v>
      </c>
      <c r="N855">
        <v>693</v>
      </c>
      <c r="O855">
        <v>1</v>
      </c>
      <c r="P855">
        <v>13</v>
      </c>
      <c r="Q855">
        <v>27</v>
      </c>
      <c r="R855">
        <v>1</v>
      </c>
      <c r="S855">
        <v>3000000</v>
      </c>
      <c r="T855" t="s">
        <v>1922</v>
      </c>
      <c r="U855" t="s">
        <v>1923</v>
      </c>
      <c r="W855">
        <v>525</v>
      </c>
      <c r="X855" t="b">
        <v>1</v>
      </c>
    </row>
    <row r="856" spans="1:24" x14ac:dyDescent="0.25">
      <c r="A856">
        <v>855</v>
      </c>
      <c r="B856" t="s">
        <v>1924</v>
      </c>
      <c r="C856">
        <v>5</v>
      </c>
      <c r="D856">
        <v>20</v>
      </c>
      <c r="E856">
        <v>99</v>
      </c>
      <c r="F856">
        <v>4</v>
      </c>
      <c r="G856" t="s">
        <v>112</v>
      </c>
      <c r="H856">
        <v>6</v>
      </c>
      <c r="I856">
        <v>4</v>
      </c>
      <c r="J856">
        <v>1084</v>
      </c>
      <c r="K856">
        <v>2710</v>
      </c>
      <c r="L856">
        <v>1</v>
      </c>
      <c r="M856">
        <v>624</v>
      </c>
      <c r="N856">
        <v>1560</v>
      </c>
      <c r="O856">
        <v>1</v>
      </c>
      <c r="P856">
        <v>24</v>
      </c>
      <c r="Q856">
        <v>50</v>
      </c>
      <c r="R856">
        <v>1</v>
      </c>
      <c r="S856">
        <v>3000000</v>
      </c>
      <c r="T856" t="s">
        <v>1925</v>
      </c>
      <c r="U856" t="s">
        <v>1923</v>
      </c>
      <c r="V856" t="s">
        <v>2295</v>
      </c>
      <c r="W856">
        <v>937.5</v>
      </c>
      <c r="X856" t="b">
        <v>1</v>
      </c>
    </row>
    <row r="857" spans="1:24" x14ac:dyDescent="0.25">
      <c r="A857">
        <v>856</v>
      </c>
      <c r="B857" t="s">
        <v>1926</v>
      </c>
      <c r="C857">
        <v>4</v>
      </c>
      <c r="D857">
        <v>10</v>
      </c>
      <c r="E857">
        <v>50</v>
      </c>
      <c r="F857">
        <v>0</v>
      </c>
      <c r="G857" t="s">
        <v>112</v>
      </c>
      <c r="H857">
        <v>1</v>
      </c>
      <c r="I857" t="s">
        <v>112</v>
      </c>
      <c r="J857">
        <v>260</v>
      </c>
      <c r="K857">
        <v>1170</v>
      </c>
      <c r="L857">
        <v>1</v>
      </c>
      <c r="M857">
        <v>129</v>
      </c>
      <c r="N857">
        <v>581</v>
      </c>
      <c r="O857">
        <v>1</v>
      </c>
      <c r="P857">
        <v>78</v>
      </c>
      <c r="Q857">
        <v>164</v>
      </c>
      <c r="R857">
        <v>1</v>
      </c>
      <c r="S857">
        <v>3000000</v>
      </c>
      <c r="T857" t="s">
        <v>2720</v>
      </c>
      <c r="U857" t="s">
        <v>1927</v>
      </c>
      <c r="W857">
        <v>525</v>
      </c>
      <c r="X857" t="b">
        <v>1</v>
      </c>
    </row>
    <row r="858" spans="1:24" x14ac:dyDescent="0.25">
      <c r="A858">
        <v>857</v>
      </c>
      <c r="B858" t="s">
        <v>1928</v>
      </c>
      <c r="C858">
        <v>5</v>
      </c>
      <c r="D858">
        <v>20</v>
      </c>
      <c r="E858">
        <v>99</v>
      </c>
      <c r="F858">
        <v>0</v>
      </c>
      <c r="G858" t="s">
        <v>112</v>
      </c>
      <c r="H858">
        <v>1</v>
      </c>
      <c r="I858">
        <v>4</v>
      </c>
      <c r="J858">
        <v>936</v>
      </c>
      <c r="K858">
        <v>2340</v>
      </c>
      <c r="L858">
        <v>1</v>
      </c>
      <c r="M858">
        <v>523</v>
      </c>
      <c r="N858">
        <v>1308</v>
      </c>
      <c r="O858">
        <v>1</v>
      </c>
      <c r="P858">
        <v>148</v>
      </c>
      <c r="Q858">
        <v>311</v>
      </c>
      <c r="R858">
        <v>1</v>
      </c>
      <c r="S858">
        <v>3000000</v>
      </c>
      <c r="T858" t="s">
        <v>2721</v>
      </c>
      <c r="U858" t="s">
        <v>1927</v>
      </c>
      <c r="V858" t="s">
        <v>2296</v>
      </c>
      <c r="W858">
        <v>937.5</v>
      </c>
      <c r="X858" t="b">
        <v>1</v>
      </c>
    </row>
    <row r="859" spans="1:24" x14ac:dyDescent="0.25">
      <c r="A859">
        <v>858</v>
      </c>
      <c r="B859" t="s">
        <v>1929</v>
      </c>
      <c r="C859">
        <v>4</v>
      </c>
      <c r="D859">
        <v>10</v>
      </c>
      <c r="E859">
        <v>50</v>
      </c>
      <c r="F859">
        <v>1</v>
      </c>
      <c r="G859" t="s">
        <v>112</v>
      </c>
      <c r="H859">
        <v>2</v>
      </c>
      <c r="I859" t="s">
        <v>112</v>
      </c>
      <c r="J859">
        <v>349</v>
      </c>
      <c r="K859">
        <v>1571</v>
      </c>
      <c r="L859">
        <v>1</v>
      </c>
      <c r="M859">
        <v>105</v>
      </c>
      <c r="N859">
        <v>473</v>
      </c>
      <c r="O859">
        <v>1</v>
      </c>
      <c r="P859">
        <v>55</v>
      </c>
      <c r="Q859">
        <v>116</v>
      </c>
      <c r="R859">
        <v>1</v>
      </c>
      <c r="S859">
        <v>3000000</v>
      </c>
      <c r="T859" t="s">
        <v>1930</v>
      </c>
      <c r="U859" t="s">
        <v>1931</v>
      </c>
      <c r="W859">
        <v>525</v>
      </c>
      <c r="X859" t="b">
        <v>1</v>
      </c>
    </row>
    <row r="860" spans="1:24" x14ac:dyDescent="0.25">
      <c r="A860">
        <v>859</v>
      </c>
      <c r="B860" t="s">
        <v>1932</v>
      </c>
      <c r="C860">
        <v>5</v>
      </c>
      <c r="D860">
        <v>20</v>
      </c>
      <c r="E860">
        <v>99</v>
      </c>
      <c r="F860">
        <v>1</v>
      </c>
      <c r="G860" t="s">
        <v>112</v>
      </c>
      <c r="H860">
        <v>2</v>
      </c>
      <c r="I860">
        <v>4</v>
      </c>
      <c r="J860">
        <v>1257</v>
      </c>
      <c r="K860">
        <v>3143</v>
      </c>
      <c r="L860">
        <v>1</v>
      </c>
      <c r="M860">
        <v>426</v>
      </c>
      <c r="N860">
        <v>1065</v>
      </c>
      <c r="O860">
        <v>1</v>
      </c>
      <c r="P860">
        <v>104</v>
      </c>
      <c r="Q860">
        <v>168</v>
      </c>
      <c r="R860">
        <v>1</v>
      </c>
      <c r="S860">
        <v>3000000</v>
      </c>
      <c r="T860" t="s">
        <v>1933</v>
      </c>
      <c r="U860" t="s">
        <v>1931</v>
      </c>
      <c r="V860" t="s">
        <v>2297</v>
      </c>
      <c r="W860">
        <v>937.5</v>
      </c>
      <c r="X860" t="b">
        <v>1</v>
      </c>
    </row>
    <row r="861" spans="1:24" x14ac:dyDescent="0.25">
      <c r="A861">
        <v>860</v>
      </c>
      <c r="B861" t="s">
        <v>1934</v>
      </c>
      <c r="C861">
        <v>4</v>
      </c>
      <c r="D861">
        <v>10</v>
      </c>
      <c r="E861">
        <v>50</v>
      </c>
      <c r="F861">
        <v>3</v>
      </c>
      <c r="G861" t="s">
        <v>112</v>
      </c>
      <c r="H861">
        <v>3</v>
      </c>
      <c r="I861" t="s">
        <v>112</v>
      </c>
      <c r="J861">
        <v>330</v>
      </c>
      <c r="K861">
        <v>1485</v>
      </c>
      <c r="L861">
        <v>1</v>
      </c>
      <c r="M861">
        <v>95</v>
      </c>
      <c r="N861">
        <v>428</v>
      </c>
      <c r="O861">
        <v>1</v>
      </c>
      <c r="P861">
        <v>83</v>
      </c>
      <c r="Q861">
        <v>174</v>
      </c>
      <c r="R861">
        <v>1</v>
      </c>
      <c r="S861">
        <v>3000000</v>
      </c>
      <c r="T861" t="s">
        <v>1935</v>
      </c>
      <c r="U861" t="s">
        <v>1936</v>
      </c>
      <c r="W861">
        <v>525</v>
      </c>
      <c r="X861" t="b">
        <v>1</v>
      </c>
    </row>
    <row r="862" spans="1:24" x14ac:dyDescent="0.25">
      <c r="A862">
        <v>861</v>
      </c>
      <c r="B862" t="s">
        <v>1937</v>
      </c>
      <c r="C862">
        <v>5</v>
      </c>
      <c r="D862">
        <v>20</v>
      </c>
      <c r="E862">
        <v>99</v>
      </c>
      <c r="F862">
        <v>3</v>
      </c>
      <c r="G862" t="s">
        <v>112</v>
      </c>
      <c r="H862">
        <v>3</v>
      </c>
      <c r="I862">
        <v>4</v>
      </c>
      <c r="J862">
        <v>1188</v>
      </c>
      <c r="K862">
        <v>2370</v>
      </c>
      <c r="L862">
        <v>1</v>
      </c>
      <c r="M862">
        <v>385</v>
      </c>
      <c r="N862">
        <v>963</v>
      </c>
      <c r="O862">
        <v>1</v>
      </c>
      <c r="P862">
        <v>157</v>
      </c>
      <c r="Q862">
        <v>330</v>
      </c>
      <c r="R862">
        <v>1</v>
      </c>
      <c r="S862">
        <v>3000000</v>
      </c>
      <c r="T862" t="s">
        <v>1935</v>
      </c>
      <c r="U862" t="s">
        <v>1936</v>
      </c>
      <c r="V862" t="s">
        <v>2298</v>
      </c>
      <c r="W862">
        <v>937.5</v>
      </c>
      <c r="X862" t="b">
        <v>1</v>
      </c>
    </row>
    <row r="863" spans="1:24" x14ac:dyDescent="0.25">
      <c r="A863">
        <v>862</v>
      </c>
      <c r="B863" t="s">
        <v>1938</v>
      </c>
      <c r="C863">
        <v>4</v>
      </c>
      <c r="D863">
        <v>10</v>
      </c>
      <c r="E863">
        <v>50</v>
      </c>
      <c r="F863">
        <v>2</v>
      </c>
      <c r="G863" t="s">
        <v>112</v>
      </c>
      <c r="H863">
        <v>1</v>
      </c>
      <c r="I863" t="s">
        <v>112</v>
      </c>
      <c r="J863">
        <v>277</v>
      </c>
      <c r="K863">
        <v>1247</v>
      </c>
      <c r="L863">
        <v>1</v>
      </c>
      <c r="M863">
        <v>135</v>
      </c>
      <c r="N863">
        <v>608</v>
      </c>
      <c r="O863">
        <v>1</v>
      </c>
      <c r="P863">
        <v>57</v>
      </c>
      <c r="Q863">
        <v>120</v>
      </c>
      <c r="R863">
        <v>1</v>
      </c>
      <c r="S863">
        <v>3000000</v>
      </c>
      <c r="T863" t="s">
        <v>1939</v>
      </c>
      <c r="U863" t="s">
        <v>1940</v>
      </c>
      <c r="W863">
        <v>525</v>
      </c>
      <c r="X863" t="b">
        <v>1</v>
      </c>
    </row>
    <row r="864" spans="1:24" x14ac:dyDescent="0.25">
      <c r="A864">
        <v>863</v>
      </c>
      <c r="B864" t="s">
        <v>1941</v>
      </c>
      <c r="C864">
        <v>5</v>
      </c>
      <c r="D864">
        <v>20</v>
      </c>
      <c r="E864">
        <v>99</v>
      </c>
      <c r="F864">
        <v>2</v>
      </c>
      <c r="G864" t="s">
        <v>112</v>
      </c>
      <c r="H864">
        <v>1</v>
      </c>
      <c r="I864">
        <v>4</v>
      </c>
      <c r="J864">
        <v>998</v>
      </c>
      <c r="K864">
        <v>2495</v>
      </c>
      <c r="L864">
        <v>1</v>
      </c>
      <c r="M864">
        <v>547</v>
      </c>
      <c r="N864">
        <v>1368</v>
      </c>
      <c r="O864">
        <v>1</v>
      </c>
      <c r="P864">
        <v>108</v>
      </c>
      <c r="Q864">
        <v>227</v>
      </c>
      <c r="R864">
        <v>1</v>
      </c>
      <c r="S864">
        <v>3000000</v>
      </c>
      <c r="T864" t="s">
        <v>1942</v>
      </c>
      <c r="U864" t="s">
        <v>1940</v>
      </c>
      <c r="V864" t="s">
        <v>2299</v>
      </c>
      <c r="W864">
        <v>937.5</v>
      </c>
      <c r="X864" t="b">
        <v>1</v>
      </c>
    </row>
    <row r="865" spans="1:24" x14ac:dyDescent="0.25">
      <c r="A865">
        <v>864</v>
      </c>
      <c r="B865" t="s">
        <v>1943</v>
      </c>
      <c r="C865">
        <v>4</v>
      </c>
      <c r="D865">
        <v>10</v>
      </c>
      <c r="E865">
        <v>50</v>
      </c>
      <c r="F865">
        <v>3</v>
      </c>
      <c r="G865" t="s">
        <v>112</v>
      </c>
      <c r="H865">
        <v>2</v>
      </c>
      <c r="I865" t="s">
        <v>112</v>
      </c>
      <c r="J865">
        <v>455</v>
      </c>
      <c r="K865">
        <v>2048</v>
      </c>
      <c r="L865">
        <v>1</v>
      </c>
      <c r="M865">
        <v>91</v>
      </c>
      <c r="N865">
        <v>410</v>
      </c>
      <c r="O865">
        <v>1</v>
      </c>
      <c r="P865">
        <v>4</v>
      </c>
      <c r="Q865">
        <v>8</v>
      </c>
      <c r="R865">
        <v>1</v>
      </c>
      <c r="S865">
        <v>3000000</v>
      </c>
      <c r="T865" t="s">
        <v>1944</v>
      </c>
      <c r="U865" t="s">
        <v>1945</v>
      </c>
      <c r="W865">
        <v>525</v>
      </c>
      <c r="X865" t="b">
        <v>1</v>
      </c>
    </row>
    <row r="866" spans="1:24" x14ac:dyDescent="0.25">
      <c r="A866">
        <v>865</v>
      </c>
      <c r="B866" t="s">
        <v>1946</v>
      </c>
      <c r="C866">
        <v>5</v>
      </c>
      <c r="D866">
        <v>20</v>
      </c>
      <c r="E866">
        <v>99</v>
      </c>
      <c r="F866">
        <v>3</v>
      </c>
      <c r="G866" t="s">
        <v>112</v>
      </c>
      <c r="H866">
        <v>2</v>
      </c>
      <c r="I866">
        <v>4</v>
      </c>
      <c r="J866">
        <v>1638</v>
      </c>
      <c r="K866">
        <v>4095</v>
      </c>
      <c r="L866">
        <v>1</v>
      </c>
      <c r="M866">
        <v>369</v>
      </c>
      <c r="N866">
        <v>923</v>
      </c>
      <c r="O866">
        <v>1</v>
      </c>
      <c r="P866">
        <v>7</v>
      </c>
      <c r="Q866">
        <v>15</v>
      </c>
      <c r="R866">
        <v>1</v>
      </c>
      <c r="S866">
        <v>3000000</v>
      </c>
      <c r="T866" t="s">
        <v>1947</v>
      </c>
      <c r="U866" t="s">
        <v>1945</v>
      </c>
      <c r="V866" t="s">
        <v>1741</v>
      </c>
      <c r="W866">
        <v>937.5</v>
      </c>
      <c r="X866" t="b">
        <v>1</v>
      </c>
    </row>
    <row r="867" spans="1:24" x14ac:dyDescent="0.25">
      <c r="A867">
        <v>866</v>
      </c>
      <c r="B867" t="s">
        <v>1948</v>
      </c>
      <c r="C867">
        <v>5</v>
      </c>
      <c r="D867">
        <v>15</v>
      </c>
      <c r="E867">
        <v>50</v>
      </c>
      <c r="F867">
        <v>0</v>
      </c>
      <c r="G867" t="s">
        <v>112</v>
      </c>
      <c r="H867">
        <v>1</v>
      </c>
      <c r="I867" t="s">
        <v>112</v>
      </c>
      <c r="J867">
        <v>291</v>
      </c>
      <c r="K867">
        <v>1310</v>
      </c>
      <c r="L867">
        <v>1</v>
      </c>
      <c r="M867">
        <v>156</v>
      </c>
      <c r="N867">
        <v>702</v>
      </c>
      <c r="O867">
        <v>1</v>
      </c>
      <c r="P867">
        <v>75</v>
      </c>
      <c r="Q867">
        <v>143</v>
      </c>
      <c r="R867">
        <v>1</v>
      </c>
      <c r="S867">
        <v>4000000</v>
      </c>
      <c r="T867" t="s">
        <v>1949</v>
      </c>
      <c r="U867" t="s">
        <v>1950</v>
      </c>
      <c r="W867">
        <v>750</v>
      </c>
      <c r="X867" t="b">
        <v>1</v>
      </c>
    </row>
    <row r="868" spans="1:24" x14ac:dyDescent="0.25">
      <c r="A868">
        <v>867</v>
      </c>
      <c r="B868" t="s">
        <v>1951</v>
      </c>
      <c r="C868">
        <v>6</v>
      </c>
      <c r="D868">
        <v>25</v>
      </c>
      <c r="E868">
        <v>99</v>
      </c>
      <c r="F868">
        <v>0</v>
      </c>
      <c r="G868">
        <v>4</v>
      </c>
      <c r="H868">
        <v>1</v>
      </c>
      <c r="I868">
        <v>4</v>
      </c>
      <c r="J868">
        <v>1048</v>
      </c>
      <c r="K868">
        <v>2620</v>
      </c>
      <c r="L868">
        <v>1</v>
      </c>
      <c r="M868">
        <v>632</v>
      </c>
      <c r="N868">
        <v>1480</v>
      </c>
      <c r="O868">
        <v>1</v>
      </c>
      <c r="P868">
        <v>129</v>
      </c>
      <c r="Q868">
        <v>245</v>
      </c>
      <c r="R868">
        <v>1</v>
      </c>
      <c r="S868">
        <v>4000000</v>
      </c>
      <c r="T868" t="s">
        <v>1949</v>
      </c>
      <c r="U868" t="s">
        <v>1950</v>
      </c>
      <c r="V868" t="s">
        <v>2300</v>
      </c>
      <c r="W868">
        <v>1162.5</v>
      </c>
      <c r="X868" t="b">
        <v>1</v>
      </c>
    </row>
    <row r="869" spans="1:24" x14ac:dyDescent="0.25">
      <c r="A869">
        <v>868</v>
      </c>
      <c r="B869" t="s">
        <v>1952</v>
      </c>
      <c r="C869">
        <v>5</v>
      </c>
      <c r="D869">
        <v>15</v>
      </c>
      <c r="E869">
        <v>50</v>
      </c>
      <c r="F869">
        <v>2</v>
      </c>
      <c r="G869" t="s">
        <v>112</v>
      </c>
      <c r="H869">
        <v>3</v>
      </c>
      <c r="I869" t="s">
        <v>112</v>
      </c>
      <c r="J869">
        <v>309</v>
      </c>
      <c r="K869">
        <v>1391</v>
      </c>
      <c r="L869">
        <v>1</v>
      </c>
      <c r="M869">
        <v>119</v>
      </c>
      <c r="N869">
        <v>536</v>
      </c>
      <c r="O869">
        <v>1</v>
      </c>
      <c r="P869">
        <v>106</v>
      </c>
      <c r="Q869">
        <v>223</v>
      </c>
      <c r="R869">
        <v>1</v>
      </c>
      <c r="S869">
        <v>4000000</v>
      </c>
      <c r="T869" t="s">
        <v>1953</v>
      </c>
      <c r="U869" t="s">
        <v>1954</v>
      </c>
      <c r="W869">
        <v>750</v>
      </c>
      <c r="X869" t="b">
        <v>1</v>
      </c>
    </row>
    <row r="870" spans="1:24" x14ac:dyDescent="0.25">
      <c r="A870">
        <v>869</v>
      </c>
      <c r="B870" t="s">
        <v>1955</v>
      </c>
      <c r="C870">
        <v>6</v>
      </c>
      <c r="D870">
        <v>25</v>
      </c>
      <c r="E870">
        <v>99</v>
      </c>
      <c r="F870">
        <v>2</v>
      </c>
      <c r="G870">
        <v>3</v>
      </c>
      <c r="H870">
        <v>3</v>
      </c>
      <c r="I870">
        <v>4</v>
      </c>
      <c r="J870">
        <v>1113</v>
      </c>
      <c r="K870">
        <v>2383</v>
      </c>
      <c r="L870">
        <v>1</v>
      </c>
      <c r="M870">
        <v>482</v>
      </c>
      <c r="N870">
        <v>1055</v>
      </c>
      <c r="O870">
        <v>1</v>
      </c>
      <c r="P870">
        <v>201</v>
      </c>
      <c r="Q870">
        <v>422</v>
      </c>
      <c r="R870">
        <v>1</v>
      </c>
      <c r="S870">
        <v>4000000</v>
      </c>
      <c r="T870" t="s">
        <v>1953</v>
      </c>
      <c r="U870" t="s">
        <v>1954</v>
      </c>
      <c r="V870" t="s">
        <v>2301</v>
      </c>
      <c r="W870">
        <v>1162.5</v>
      </c>
      <c r="X870" t="b">
        <v>1</v>
      </c>
    </row>
    <row r="871" spans="1:24" x14ac:dyDescent="0.25">
      <c r="A871">
        <v>870</v>
      </c>
      <c r="B871" t="s">
        <v>1956</v>
      </c>
      <c r="C871">
        <v>2</v>
      </c>
      <c r="D871">
        <v>7</v>
      </c>
      <c r="E871">
        <v>25</v>
      </c>
      <c r="F871">
        <v>0</v>
      </c>
      <c r="G871" t="s">
        <v>112</v>
      </c>
      <c r="H871">
        <v>1</v>
      </c>
      <c r="I871" t="s">
        <v>112</v>
      </c>
      <c r="J871">
        <v>135</v>
      </c>
      <c r="K871">
        <v>608</v>
      </c>
      <c r="L871">
        <v>1</v>
      </c>
      <c r="M871">
        <v>129</v>
      </c>
      <c r="N871">
        <v>581</v>
      </c>
      <c r="O871">
        <v>1</v>
      </c>
      <c r="P871">
        <v>31</v>
      </c>
      <c r="Q871">
        <v>65</v>
      </c>
      <c r="R871">
        <v>1</v>
      </c>
      <c r="S871">
        <v>1500000</v>
      </c>
      <c r="T871" t="s">
        <v>1957</v>
      </c>
      <c r="U871" t="s">
        <v>112</v>
      </c>
      <c r="W871">
        <v>337.5</v>
      </c>
      <c r="X871" t="b">
        <v>1</v>
      </c>
    </row>
    <row r="872" spans="1:24" x14ac:dyDescent="0.25">
      <c r="A872">
        <v>871</v>
      </c>
      <c r="B872" t="s">
        <v>1958</v>
      </c>
      <c r="C872">
        <v>3</v>
      </c>
      <c r="D872">
        <v>12</v>
      </c>
      <c r="E872">
        <v>50</v>
      </c>
      <c r="F872">
        <v>0</v>
      </c>
      <c r="G872" t="s">
        <v>112</v>
      </c>
      <c r="H872">
        <v>1</v>
      </c>
      <c r="I872">
        <v>4</v>
      </c>
      <c r="J872">
        <v>486</v>
      </c>
      <c r="K872">
        <v>1215</v>
      </c>
      <c r="L872">
        <v>1</v>
      </c>
      <c r="M872">
        <v>523</v>
      </c>
      <c r="N872">
        <v>1108</v>
      </c>
      <c r="O872">
        <v>1</v>
      </c>
      <c r="P872">
        <v>59</v>
      </c>
      <c r="Q872">
        <v>124</v>
      </c>
      <c r="R872">
        <v>1</v>
      </c>
      <c r="S872">
        <v>2000000</v>
      </c>
      <c r="T872" t="s">
        <v>1957</v>
      </c>
      <c r="U872" t="s">
        <v>760</v>
      </c>
      <c r="V872" t="s">
        <v>1127</v>
      </c>
      <c r="W872">
        <v>562.5</v>
      </c>
      <c r="X872" t="b">
        <v>1</v>
      </c>
    </row>
    <row r="873" spans="1:24" x14ac:dyDescent="0.25">
      <c r="A873">
        <v>872</v>
      </c>
      <c r="B873" t="s">
        <v>1959</v>
      </c>
      <c r="C873">
        <v>2</v>
      </c>
      <c r="D873">
        <v>7</v>
      </c>
      <c r="E873">
        <v>25</v>
      </c>
      <c r="F873">
        <v>1</v>
      </c>
      <c r="G873" t="s">
        <v>112</v>
      </c>
      <c r="H873">
        <v>1</v>
      </c>
      <c r="I873" t="s">
        <v>112</v>
      </c>
      <c r="J873">
        <v>145</v>
      </c>
      <c r="K873">
        <v>653</v>
      </c>
      <c r="L873">
        <v>1</v>
      </c>
      <c r="M873">
        <v>122</v>
      </c>
      <c r="N873">
        <v>549</v>
      </c>
      <c r="O873">
        <v>1</v>
      </c>
      <c r="P873">
        <v>35</v>
      </c>
      <c r="Q873">
        <v>74</v>
      </c>
      <c r="R873">
        <v>1</v>
      </c>
      <c r="S873">
        <v>1500000</v>
      </c>
      <c r="T873" t="s">
        <v>1960</v>
      </c>
      <c r="U873" t="s">
        <v>112</v>
      </c>
      <c r="W873">
        <v>337.5</v>
      </c>
      <c r="X873" t="b">
        <v>1</v>
      </c>
    </row>
    <row r="874" spans="1:24" x14ac:dyDescent="0.25">
      <c r="A874">
        <v>873</v>
      </c>
      <c r="B874" t="s">
        <v>1961</v>
      </c>
      <c r="C874">
        <v>3</v>
      </c>
      <c r="D874">
        <v>12</v>
      </c>
      <c r="E874">
        <v>50</v>
      </c>
      <c r="F874">
        <v>1</v>
      </c>
      <c r="G874" t="s">
        <v>112</v>
      </c>
      <c r="H874">
        <v>1</v>
      </c>
      <c r="I874">
        <v>4</v>
      </c>
      <c r="J874">
        <v>522</v>
      </c>
      <c r="K874">
        <v>1305</v>
      </c>
      <c r="L874">
        <v>1</v>
      </c>
      <c r="M874">
        <v>494</v>
      </c>
      <c r="N874">
        <v>1035</v>
      </c>
      <c r="O874">
        <v>1</v>
      </c>
      <c r="P874">
        <v>67</v>
      </c>
      <c r="Q874">
        <v>141</v>
      </c>
      <c r="R874">
        <v>1</v>
      </c>
      <c r="S874">
        <v>2000000</v>
      </c>
      <c r="T874" t="s">
        <v>1960</v>
      </c>
      <c r="U874" t="s">
        <v>764</v>
      </c>
      <c r="V874" t="s">
        <v>1128</v>
      </c>
      <c r="W874">
        <v>562.5</v>
      </c>
      <c r="X874" t="b">
        <v>1</v>
      </c>
    </row>
    <row r="875" spans="1:24" x14ac:dyDescent="0.25">
      <c r="A875">
        <v>874</v>
      </c>
      <c r="B875" t="s">
        <v>1962</v>
      </c>
      <c r="C875">
        <v>2</v>
      </c>
      <c r="D875">
        <v>7</v>
      </c>
      <c r="E875">
        <v>25</v>
      </c>
      <c r="F875">
        <v>2</v>
      </c>
      <c r="G875" t="s">
        <v>112</v>
      </c>
      <c r="H875">
        <v>1</v>
      </c>
      <c r="I875" t="s">
        <v>112</v>
      </c>
      <c r="J875">
        <v>139</v>
      </c>
      <c r="K875">
        <v>626</v>
      </c>
      <c r="L875">
        <v>1</v>
      </c>
      <c r="M875">
        <v>121</v>
      </c>
      <c r="N875">
        <v>545</v>
      </c>
      <c r="O875">
        <v>1</v>
      </c>
      <c r="P875">
        <v>41</v>
      </c>
      <c r="Q875">
        <v>86</v>
      </c>
      <c r="R875">
        <v>1</v>
      </c>
      <c r="S875">
        <v>1500000</v>
      </c>
      <c r="T875" t="s">
        <v>1963</v>
      </c>
      <c r="U875" t="s">
        <v>112</v>
      </c>
      <c r="W875">
        <v>337.5</v>
      </c>
      <c r="X875" t="b">
        <v>1</v>
      </c>
    </row>
    <row r="876" spans="1:24" x14ac:dyDescent="0.25">
      <c r="A876">
        <v>875</v>
      </c>
      <c r="B876" t="s">
        <v>1964</v>
      </c>
      <c r="C876">
        <v>3</v>
      </c>
      <c r="D876">
        <v>12</v>
      </c>
      <c r="E876">
        <v>50</v>
      </c>
      <c r="F876">
        <v>2</v>
      </c>
      <c r="G876" t="s">
        <v>112</v>
      </c>
      <c r="H876">
        <v>1</v>
      </c>
      <c r="I876">
        <v>4</v>
      </c>
      <c r="J876">
        <v>501</v>
      </c>
      <c r="K876">
        <v>1253</v>
      </c>
      <c r="L876">
        <v>1</v>
      </c>
      <c r="M876">
        <v>491</v>
      </c>
      <c r="N876">
        <v>1028</v>
      </c>
      <c r="O876">
        <v>1</v>
      </c>
      <c r="P876">
        <v>77</v>
      </c>
      <c r="Q876">
        <v>162</v>
      </c>
      <c r="R876">
        <v>1</v>
      </c>
      <c r="S876">
        <v>2000000</v>
      </c>
      <c r="T876" t="s">
        <v>1963</v>
      </c>
      <c r="U876" t="s">
        <v>768</v>
      </c>
      <c r="V876" t="s">
        <v>1129</v>
      </c>
      <c r="W876">
        <v>562.5</v>
      </c>
      <c r="X876" t="b">
        <v>1</v>
      </c>
    </row>
    <row r="877" spans="1:24" x14ac:dyDescent="0.25">
      <c r="A877">
        <v>876</v>
      </c>
      <c r="B877" t="s">
        <v>1965</v>
      </c>
      <c r="C877">
        <v>4</v>
      </c>
      <c r="D877">
        <v>15</v>
      </c>
      <c r="E877">
        <v>50</v>
      </c>
      <c r="F877">
        <v>4</v>
      </c>
      <c r="G877" t="s">
        <v>112</v>
      </c>
      <c r="H877">
        <v>1</v>
      </c>
      <c r="I877" t="s">
        <v>112</v>
      </c>
      <c r="J877">
        <v>301</v>
      </c>
      <c r="K877">
        <v>1355</v>
      </c>
      <c r="L877">
        <v>1</v>
      </c>
      <c r="M877">
        <v>106</v>
      </c>
      <c r="N877">
        <v>477</v>
      </c>
      <c r="O877">
        <v>1</v>
      </c>
      <c r="P877">
        <v>56</v>
      </c>
      <c r="Q877">
        <v>118</v>
      </c>
      <c r="R877">
        <v>1</v>
      </c>
      <c r="S877">
        <v>1500000</v>
      </c>
      <c r="T877" t="s">
        <v>1966</v>
      </c>
      <c r="U877" t="s">
        <v>1967</v>
      </c>
      <c r="W877">
        <v>712.5</v>
      </c>
      <c r="X877" t="b">
        <v>1</v>
      </c>
    </row>
    <row r="878" spans="1:24" x14ac:dyDescent="0.25">
      <c r="A878">
        <v>877</v>
      </c>
      <c r="B878" t="s">
        <v>1968</v>
      </c>
      <c r="C878">
        <v>5</v>
      </c>
      <c r="D878">
        <v>20</v>
      </c>
      <c r="E878">
        <v>99</v>
      </c>
      <c r="F878">
        <v>4</v>
      </c>
      <c r="G878" t="s">
        <v>112</v>
      </c>
      <c r="H878">
        <v>1</v>
      </c>
      <c r="I878">
        <v>4</v>
      </c>
      <c r="J878">
        <v>1084</v>
      </c>
      <c r="K878">
        <v>2710</v>
      </c>
      <c r="L878">
        <v>1</v>
      </c>
      <c r="M878">
        <v>429</v>
      </c>
      <c r="N878">
        <v>1073</v>
      </c>
      <c r="O878">
        <v>1</v>
      </c>
      <c r="P878">
        <v>106</v>
      </c>
      <c r="Q878">
        <v>223</v>
      </c>
      <c r="R878">
        <v>1</v>
      </c>
      <c r="S878">
        <v>4000000</v>
      </c>
      <c r="T878" t="s">
        <v>1966</v>
      </c>
      <c r="U878" t="s">
        <v>1967</v>
      </c>
      <c r="V878" t="s">
        <v>1131</v>
      </c>
      <c r="W878">
        <v>937.5</v>
      </c>
      <c r="X878" t="b">
        <v>1</v>
      </c>
    </row>
    <row r="879" spans="1:24" x14ac:dyDescent="0.25">
      <c r="A879">
        <v>878</v>
      </c>
      <c r="B879" t="s">
        <v>1969</v>
      </c>
      <c r="C879">
        <v>4</v>
      </c>
      <c r="D879">
        <v>15</v>
      </c>
      <c r="E879">
        <v>50</v>
      </c>
      <c r="F879">
        <v>3</v>
      </c>
      <c r="G879" t="s">
        <v>112</v>
      </c>
      <c r="H879">
        <v>1</v>
      </c>
      <c r="I879" t="s">
        <v>112</v>
      </c>
      <c r="J879">
        <v>307</v>
      </c>
      <c r="K879">
        <v>1382</v>
      </c>
      <c r="L879">
        <v>1</v>
      </c>
      <c r="M879">
        <v>101</v>
      </c>
      <c r="N879">
        <v>455</v>
      </c>
      <c r="O879">
        <v>1</v>
      </c>
      <c r="P879">
        <v>63</v>
      </c>
      <c r="Q879">
        <v>132</v>
      </c>
      <c r="R879">
        <v>1</v>
      </c>
      <c r="S879">
        <v>1500000</v>
      </c>
      <c r="T879" t="s">
        <v>1970</v>
      </c>
      <c r="U879" t="s">
        <v>1971</v>
      </c>
      <c r="W879">
        <v>712.5</v>
      </c>
      <c r="X879" t="b">
        <v>1</v>
      </c>
    </row>
    <row r="880" spans="1:24" x14ac:dyDescent="0.25">
      <c r="A880">
        <v>879</v>
      </c>
      <c r="B880" t="s">
        <v>1972</v>
      </c>
      <c r="C880">
        <v>5</v>
      </c>
      <c r="D880">
        <v>20</v>
      </c>
      <c r="E880">
        <v>99</v>
      </c>
      <c r="F880">
        <v>3</v>
      </c>
      <c r="G880" t="s">
        <v>112</v>
      </c>
      <c r="H880">
        <v>1</v>
      </c>
      <c r="I880">
        <v>4</v>
      </c>
      <c r="J880">
        <v>1106</v>
      </c>
      <c r="K880">
        <v>2765</v>
      </c>
      <c r="L880">
        <v>1</v>
      </c>
      <c r="M880">
        <v>410</v>
      </c>
      <c r="N880">
        <v>1025</v>
      </c>
      <c r="O880">
        <v>1</v>
      </c>
      <c r="P880">
        <v>119</v>
      </c>
      <c r="Q880">
        <v>250</v>
      </c>
      <c r="R880">
        <v>1</v>
      </c>
      <c r="S880">
        <v>4000000</v>
      </c>
      <c r="T880" t="s">
        <v>1970</v>
      </c>
      <c r="U880" t="s">
        <v>1971</v>
      </c>
      <c r="V880" t="s">
        <v>1130</v>
      </c>
      <c r="W880">
        <v>937.5</v>
      </c>
      <c r="X880" t="b">
        <v>1</v>
      </c>
    </row>
    <row r="881" spans="1:24" x14ac:dyDescent="0.25">
      <c r="A881">
        <v>880</v>
      </c>
      <c r="B881" t="s">
        <v>1973</v>
      </c>
      <c r="C881">
        <v>5</v>
      </c>
      <c r="D881">
        <v>25</v>
      </c>
      <c r="E881">
        <v>50</v>
      </c>
      <c r="F881">
        <v>2</v>
      </c>
      <c r="G881">
        <v>3</v>
      </c>
      <c r="H881">
        <v>5</v>
      </c>
      <c r="I881">
        <v>1</v>
      </c>
      <c r="J881">
        <v>330</v>
      </c>
      <c r="K881">
        <v>1485</v>
      </c>
      <c r="L881">
        <v>1</v>
      </c>
      <c r="M881">
        <v>128</v>
      </c>
      <c r="N881">
        <v>576</v>
      </c>
      <c r="O881">
        <v>1</v>
      </c>
      <c r="P881">
        <v>97</v>
      </c>
      <c r="Q881">
        <v>204</v>
      </c>
      <c r="R881">
        <v>1</v>
      </c>
      <c r="S881">
        <v>4000000</v>
      </c>
      <c r="T881" t="s">
        <v>1974</v>
      </c>
      <c r="U881" t="s">
        <v>1975</v>
      </c>
      <c r="W881">
        <v>1125</v>
      </c>
      <c r="X881" t="b">
        <v>1</v>
      </c>
    </row>
    <row r="882" spans="1:24" x14ac:dyDescent="0.25">
      <c r="A882">
        <v>881</v>
      </c>
      <c r="B882" t="s">
        <v>1976</v>
      </c>
      <c r="C882">
        <v>6</v>
      </c>
      <c r="D882">
        <v>45</v>
      </c>
      <c r="E882">
        <v>99</v>
      </c>
      <c r="F882">
        <v>2</v>
      </c>
      <c r="G882">
        <v>3</v>
      </c>
      <c r="H882">
        <v>5</v>
      </c>
      <c r="I882">
        <v>1</v>
      </c>
      <c r="J882">
        <v>1188</v>
      </c>
      <c r="K882">
        <v>3470</v>
      </c>
      <c r="L882">
        <v>1</v>
      </c>
      <c r="M882">
        <v>518</v>
      </c>
      <c r="N882">
        <v>1395</v>
      </c>
      <c r="O882">
        <v>1</v>
      </c>
      <c r="P882">
        <v>184</v>
      </c>
      <c r="Q882">
        <v>426</v>
      </c>
      <c r="R882">
        <v>1</v>
      </c>
      <c r="S882">
        <v>4000000</v>
      </c>
      <c r="T882" t="s">
        <v>1974</v>
      </c>
      <c r="U882" t="s">
        <v>1975</v>
      </c>
      <c r="V882" t="s">
        <v>2302</v>
      </c>
      <c r="W882">
        <v>1912.5</v>
      </c>
      <c r="X882" t="b">
        <v>1</v>
      </c>
    </row>
    <row r="883" spans="1:24" x14ac:dyDescent="0.25">
      <c r="A883">
        <v>882</v>
      </c>
      <c r="B883" t="s">
        <v>1977</v>
      </c>
      <c r="C883">
        <v>6</v>
      </c>
      <c r="D883">
        <v>25</v>
      </c>
      <c r="E883">
        <v>99</v>
      </c>
      <c r="F883">
        <v>0</v>
      </c>
      <c r="G883">
        <v>1</v>
      </c>
      <c r="H883">
        <v>1</v>
      </c>
      <c r="I883" t="s">
        <v>112</v>
      </c>
      <c r="J883">
        <v>1213</v>
      </c>
      <c r="K883">
        <v>2619</v>
      </c>
      <c r="L883">
        <v>1</v>
      </c>
      <c r="M883">
        <v>823</v>
      </c>
      <c r="N883">
        <v>1327</v>
      </c>
      <c r="O883">
        <v>1</v>
      </c>
      <c r="P883">
        <v>188</v>
      </c>
      <c r="Q883">
        <v>312</v>
      </c>
      <c r="R883">
        <v>1</v>
      </c>
      <c r="S883">
        <v>4000000</v>
      </c>
      <c r="T883" t="s">
        <v>1978</v>
      </c>
      <c r="U883" t="s">
        <v>1876</v>
      </c>
      <c r="V883" t="s">
        <v>898</v>
      </c>
      <c r="W883">
        <v>1162.5</v>
      </c>
      <c r="X883" t="b">
        <v>1</v>
      </c>
    </row>
    <row r="884" spans="1:24" x14ac:dyDescent="0.25">
      <c r="A884">
        <v>883</v>
      </c>
      <c r="B884" t="s">
        <v>1979</v>
      </c>
      <c r="C884">
        <v>7</v>
      </c>
      <c r="D884">
        <v>55</v>
      </c>
      <c r="E884">
        <v>99</v>
      </c>
      <c r="F884">
        <v>3</v>
      </c>
      <c r="G884">
        <v>3</v>
      </c>
      <c r="H884">
        <v>4</v>
      </c>
      <c r="I884">
        <v>5</v>
      </c>
      <c r="J884">
        <v>1239</v>
      </c>
      <c r="K884">
        <v>2926</v>
      </c>
      <c r="L884">
        <v>1</v>
      </c>
      <c r="M884">
        <v>873</v>
      </c>
      <c r="N884">
        <v>1247</v>
      </c>
      <c r="O884">
        <v>1</v>
      </c>
      <c r="P884">
        <v>145</v>
      </c>
      <c r="Q884">
        <v>218</v>
      </c>
      <c r="R884">
        <v>1</v>
      </c>
      <c r="S884">
        <v>4000000</v>
      </c>
      <c r="T884" t="s">
        <v>1980</v>
      </c>
      <c r="U884" t="s">
        <v>1881</v>
      </c>
      <c r="V884" t="s">
        <v>356</v>
      </c>
      <c r="W884">
        <v>2325</v>
      </c>
      <c r="X884" t="b">
        <v>1</v>
      </c>
    </row>
    <row r="885" spans="1:24" x14ac:dyDescent="0.25">
      <c r="A885">
        <v>884</v>
      </c>
      <c r="B885" t="s">
        <v>1981</v>
      </c>
      <c r="C885">
        <v>4</v>
      </c>
      <c r="D885">
        <v>10</v>
      </c>
      <c r="E885">
        <v>50</v>
      </c>
      <c r="F885">
        <v>4</v>
      </c>
      <c r="G885" t="s">
        <v>112</v>
      </c>
      <c r="H885">
        <v>3</v>
      </c>
      <c r="I885" t="s">
        <v>112</v>
      </c>
      <c r="J885">
        <v>154</v>
      </c>
      <c r="K885">
        <v>339</v>
      </c>
      <c r="L885">
        <v>1</v>
      </c>
      <c r="M885">
        <v>439</v>
      </c>
      <c r="N885">
        <v>922</v>
      </c>
      <c r="O885">
        <v>1</v>
      </c>
      <c r="P885">
        <v>258</v>
      </c>
      <c r="Q885">
        <v>387</v>
      </c>
      <c r="R885">
        <v>1</v>
      </c>
      <c r="S885">
        <v>1500000</v>
      </c>
      <c r="T885" t="s">
        <v>1982</v>
      </c>
      <c r="U885" t="s">
        <v>497</v>
      </c>
      <c r="W885">
        <v>525</v>
      </c>
      <c r="X885" t="b">
        <v>1</v>
      </c>
    </row>
    <row r="886" spans="1:24" x14ac:dyDescent="0.25">
      <c r="A886">
        <v>885</v>
      </c>
      <c r="B886" t="s">
        <v>1983</v>
      </c>
      <c r="C886">
        <v>5</v>
      </c>
      <c r="D886">
        <v>20</v>
      </c>
      <c r="E886">
        <v>99</v>
      </c>
      <c r="F886">
        <v>4</v>
      </c>
      <c r="G886" t="s">
        <v>112</v>
      </c>
      <c r="H886">
        <v>3</v>
      </c>
      <c r="I886" t="s">
        <v>112</v>
      </c>
      <c r="J886">
        <v>271</v>
      </c>
      <c r="K886">
        <v>596</v>
      </c>
      <c r="L886">
        <v>1</v>
      </c>
      <c r="M886">
        <v>830</v>
      </c>
      <c r="N886">
        <v>1328</v>
      </c>
      <c r="O886">
        <v>1</v>
      </c>
      <c r="P886">
        <v>348</v>
      </c>
      <c r="Q886">
        <v>522</v>
      </c>
      <c r="R886">
        <v>1</v>
      </c>
      <c r="S886">
        <v>3000000</v>
      </c>
      <c r="T886" t="s">
        <v>1982</v>
      </c>
      <c r="U886" t="s">
        <v>497</v>
      </c>
      <c r="V886" t="s">
        <v>1463</v>
      </c>
      <c r="W886">
        <v>937.5</v>
      </c>
      <c r="X886" t="b">
        <v>1</v>
      </c>
    </row>
    <row r="887" spans="1:24" x14ac:dyDescent="0.25">
      <c r="A887">
        <v>886</v>
      </c>
      <c r="B887" t="s">
        <v>1984</v>
      </c>
      <c r="C887">
        <v>5</v>
      </c>
      <c r="D887">
        <v>40</v>
      </c>
      <c r="E887">
        <v>50</v>
      </c>
      <c r="F887">
        <v>4</v>
      </c>
      <c r="G887" t="s">
        <v>112</v>
      </c>
      <c r="H887">
        <v>7</v>
      </c>
      <c r="I887" t="s">
        <v>112</v>
      </c>
      <c r="J887">
        <v>342</v>
      </c>
      <c r="K887">
        <v>1539</v>
      </c>
      <c r="L887">
        <v>1</v>
      </c>
      <c r="M887">
        <v>139</v>
      </c>
      <c r="N887">
        <v>626</v>
      </c>
      <c r="O887">
        <v>1</v>
      </c>
      <c r="P887">
        <v>7</v>
      </c>
      <c r="Q887">
        <v>15</v>
      </c>
      <c r="R887">
        <v>1</v>
      </c>
      <c r="S887">
        <v>4000000</v>
      </c>
      <c r="T887" t="s">
        <v>1985</v>
      </c>
      <c r="U887" t="s">
        <v>1986</v>
      </c>
      <c r="W887">
        <v>1687.5</v>
      </c>
      <c r="X887" t="b">
        <v>1</v>
      </c>
    </row>
    <row r="888" spans="1:24" x14ac:dyDescent="0.25">
      <c r="A888">
        <v>887</v>
      </c>
      <c r="B888" t="s">
        <v>1987</v>
      </c>
      <c r="C888">
        <v>6</v>
      </c>
      <c r="D888">
        <v>50</v>
      </c>
      <c r="E888">
        <v>99</v>
      </c>
      <c r="F888">
        <v>4</v>
      </c>
      <c r="G888" t="s">
        <v>112</v>
      </c>
      <c r="H888">
        <v>7</v>
      </c>
      <c r="I888" t="s">
        <v>112</v>
      </c>
      <c r="J888">
        <v>1231</v>
      </c>
      <c r="K888">
        <v>3078</v>
      </c>
      <c r="L888">
        <v>1</v>
      </c>
      <c r="M888">
        <v>563</v>
      </c>
      <c r="N888">
        <v>1408</v>
      </c>
      <c r="O888">
        <v>1</v>
      </c>
      <c r="P888">
        <v>14</v>
      </c>
      <c r="Q888">
        <v>29</v>
      </c>
      <c r="R888">
        <v>1</v>
      </c>
      <c r="S888">
        <v>4000000</v>
      </c>
      <c r="T888" t="s">
        <v>1988</v>
      </c>
      <c r="U888" t="s">
        <v>1986</v>
      </c>
      <c r="V888" t="s">
        <v>1464</v>
      </c>
      <c r="W888">
        <v>2100</v>
      </c>
      <c r="X888" t="b">
        <v>1</v>
      </c>
    </row>
    <row r="889" spans="1:24" x14ac:dyDescent="0.25">
      <c r="A889">
        <v>888</v>
      </c>
      <c r="B889" t="s">
        <v>1465</v>
      </c>
      <c r="C889">
        <v>7</v>
      </c>
      <c r="D889">
        <v>35</v>
      </c>
      <c r="E889">
        <v>99</v>
      </c>
      <c r="F889">
        <v>2</v>
      </c>
      <c r="G889">
        <v>3</v>
      </c>
      <c r="H889">
        <v>5</v>
      </c>
      <c r="I889">
        <v>3</v>
      </c>
      <c r="J889">
        <v>1204</v>
      </c>
      <c r="K889">
        <v>3010</v>
      </c>
      <c r="L889">
        <v>1</v>
      </c>
      <c r="M889">
        <v>738</v>
      </c>
      <c r="N889">
        <v>1107</v>
      </c>
      <c r="O889">
        <v>1</v>
      </c>
      <c r="P889">
        <v>390</v>
      </c>
      <c r="Q889">
        <v>685</v>
      </c>
      <c r="R889">
        <v>1</v>
      </c>
      <c r="S889">
        <v>4000000</v>
      </c>
      <c r="T889" t="s">
        <v>1466</v>
      </c>
      <c r="U889" t="s">
        <v>933</v>
      </c>
      <c r="V889" t="s">
        <v>2206</v>
      </c>
      <c r="W889">
        <v>1575</v>
      </c>
      <c r="X889" t="b">
        <v>0</v>
      </c>
    </row>
    <row r="890" spans="1:24" x14ac:dyDescent="0.25">
      <c r="A890">
        <v>889</v>
      </c>
      <c r="B890" t="s">
        <v>1467</v>
      </c>
      <c r="C890">
        <v>7</v>
      </c>
      <c r="D890">
        <v>35</v>
      </c>
      <c r="E890">
        <v>99</v>
      </c>
      <c r="F890">
        <v>0</v>
      </c>
      <c r="G890">
        <v>4</v>
      </c>
      <c r="H890">
        <v>5</v>
      </c>
      <c r="I890">
        <v>6</v>
      </c>
      <c r="J890">
        <v>701</v>
      </c>
      <c r="K890">
        <v>2312</v>
      </c>
      <c r="L890">
        <v>1</v>
      </c>
      <c r="M890">
        <v>1296</v>
      </c>
      <c r="N890">
        <v>2094</v>
      </c>
      <c r="O890">
        <v>1</v>
      </c>
      <c r="P890">
        <v>0</v>
      </c>
      <c r="Q890">
        <v>0</v>
      </c>
      <c r="R890">
        <v>1</v>
      </c>
      <c r="S890">
        <v>4000000</v>
      </c>
      <c r="T890" t="s">
        <v>1468</v>
      </c>
      <c r="U890" t="s">
        <v>1068</v>
      </c>
      <c r="V890" t="s">
        <v>2224</v>
      </c>
      <c r="W890">
        <v>1575</v>
      </c>
      <c r="X890" t="b">
        <v>0</v>
      </c>
    </row>
    <row r="891" spans="1:24" x14ac:dyDescent="0.25">
      <c r="A891">
        <v>890</v>
      </c>
      <c r="B891" t="s">
        <v>1469</v>
      </c>
      <c r="C891">
        <v>7</v>
      </c>
      <c r="D891">
        <v>35</v>
      </c>
      <c r="E891">
        <v>99</v>
      </c>
      <c r="F891">
        <v>1</v>
      </c>
      <c r="G891">
        <v>3</v>
      </c>
      <c r="H891">
        <v>5</v>
      </c>
      <c r="I891">
        <v>2</v>
      </c>
      <c r="J891">
        <v>739</v>
      </c>
      <c r="K891">
        <v>3074</v>
      </c>
      <c r="L891">
        <v>1</v>
      </c>
      <c r="M891">
        <v>932</v>
      </c>
      <c r="N891">
        <v>1398</v>
      </c>
      <c r="O891">
        <v>1</v>
      </c>
      <c r="P891">
        <v>91</v>
      </c>
      <c r="Q891">
        <v>164</v>
      </c>
      <c r="R891">
        <v>1</v>
      </c>
      <c r="S891">
        <v>4000000</v>
      </c>
      <c r="T891" t="s">
        <v>1470</v>
      </c>
      <c r="U891" t="s">
        <v>1072</v>
      </c>
      <c r="V891" t="s">
        <v>2225</v>
      </c>
      <c r="W891">
        <v>1575</v>
      </c>
      <c r="X891" t="b">
        <v>0</v>
      </c>
    </row>
    <row r="892" spans="1:24" x14ac:dyDescent="0.25">
      <c r="A892">
        <v>891</v>
      </c>
      <c r="B892" t="s">
        <v>1471</v>
      </c>
      <c r="C892">
        <v>7</v>
      </c>
      <c r="D892">
        <v>35</v>
      </c>
      <c r="E892">
        <v>99</v>
      </c>
      <c r="F892">
        <v>2</v>
      </c>
      <c r="G892">
        <v>3</v>
      </c>
      <c r="H892">
        <v>5</v>
      </c>
      <c r="I892">
        <v>1</v>
      </c>
      <c r="J892">
        <v>725</v>
      </c>
      <c r="K892">
        <v>2490</v>
      </c>
      <c r="L892">
        <v>1</v>
      </c>
      <c r="M892">
        <v>943</v>
      </c>
      <c r="N892">
        <v>1465</v>
      </c>
      <c r="O892">
        <v>1</v>
      </c>
      <c r="P892">
        <v>95</v>
      </c>
      <c r="Q892">
        <v>301</v>
      </c>
      <c r="R892">
        <v>1</v>
      </c>
      <c r="S892">
        <v>4000000</v>
      </c>
      <c r="T892" t="s">
        <v>1472</v>
      </c>
      <c r="U892" t="s">
        <v>1076</v>
      </c>
      <c r="V892" t="s">
        <v>2226</v>
      </c>
      <c r="W892">
        <v>1575</v>
      </c>
      <c r="X892" t="b">
        <v>0</v>
      </c>
    </row>
    <row r="893" spans="1:24" x14ac:dyDescent="0.25">
      <c r="A893">
        <v>892</v>
      </c>
      <c r="B893" t="s">
        <v>1473</v>
      </c>
      <c r="C893">
        <v>7</v>
      </c>
      <c r="D893">
        <v>35</v>
      </c>
      <c r="E893">
        <v>99</v>
      </c>
      <c r="F893">
        <v>3</v>
      </c>
      <c r="G893">
        <v>0</v>
      </c>
      <c r="H893">
        <v>5</v>
      </c>
      <c r="I893">
        <v>2</v>
      </c>
      <c r="J893">
        <v>1112</v>
      </c>
      <c r="K893">
        <v>3158</v>
      </c>
      <c r="L893">
        <v>1</v>
      </c>
      <c r="M893">
        <v>902</v>
      </c>
      <c r="N893">
        <v>1353</v>
      </c>
      <c r="O893">
        <v>1</v>
      </c>
      <c r="P893">
        <v>231</v>
      </c>
      <c r="Q893">
        <v>446</v>
      </c>
      <c r="R893">
        <v>1</v>
      </c>
      <c r="S893">
        <v>4000000</v>
      </c>
      <c r="T893" t="s">
        <v>1474</v>
      </c>
      <c r="U893" t="s">
        <v>1080</v>
      </c>
      <c r="V893" t="s">
        <v>2227</v>
      </c>
      <c r="W893">
        <v>1575</v>
      </c>
      <c r="X893" t="b">
        <v>0</v>
      </c>
    </row>
    <row r="894" spans="1:24" x14ac:dyDescent="0.25">
      <c r="A894">
        <v>893</v>
      </c>
      <c r="B894" t="s">
        <v>1475</v>
      </c>
      <c r="C894">
        <v>7</v>
      </c>
      <c r="D894">
        <v>35</v>
      </c>
      <c r="E894">
        <v>99</v>
      </c>
      <c r="F894">
        <v>4</v>
      </c>
      <c r="G894">
        <v>0</v>
      </c>
      <c r="H894">
        <v>5</v>
      </c>
      <c r="I894">
        <v>7</v>
      </c>
      <c r="J894">
        <v>1278</v>
      </c>
      <c r="K894">
        <v>2939</v>
      </c>
      <c r="L894">
        <v>1</v>
      </c>
      <c r="M894">
        <v>719</v>
      </c>
      <c r="N894">
        <v>1407</v>
      </c>
      <c r="O894">
        <v>1</v>
      </c>
      <c r="P894">
        <v>340</v>
      </c>
      <c r="Q894">
        <v>510</v>
      </c>
      <c r="R894">
        <v>1</v>
      </c>
      <c r="S894">
        <v>4000000</v>
      </c>
      <c r="T894" t="s">
        <v>1476</v>
      </c>
      <c r="U894" t="s">
        <v>1084</v>
      </c>
      <c r="V894" t="s">
        <v>2227</v>
      </c>
      <c r="W894">
        <v>1575</v>
      </c>
      <c r="X894" t="b">
        <v>0</v>
      </c>
    </row>
    <row r="895" spans="1:24" x14ac:dyDescent="0.25">
      <c r="A895">
        <v>894</v>
      </c>
      <c r="B895" t="s">
        <v>1477</v>
      </c>
      <c r="C895">
        <v>6</v>
      </c>
      <c r="D895">
        <v>35</v>
      </c>
      <c r="E895">
        <v>99</v>
      </c>
      <c r="F895">
        <v>4</v>
      </c>
      <c r="G895">
        <v>1</v>
      </c>
      <c r="H895">
        <v>1</v>
      </c>
      <c r="I895">
        <v>7</v>
      </c>
      <c r="J895">
        <v>1616</v>
      </c>
      <c r="K895">
        <v>2896</v>
      </c>
      <c r="L895">
        <v>1</v>
      </c>
      <c r="M895">
        <v>988</v>
      </c>
      <c r="N895">
        <v>1268</v>
      </c>
      <c r="O895">
        <v>1</v>
      </c>
      <c r="P895">
        <v>281</v>
      </c>
      <c r="Q895">
        <v>463</v>
      </c>
      <c r="R895">
        <v>1</v>
      </c>
      <c r="S895">
        <v>4000000</v>
      </c>
      <c r="T895" t="s">
        <v>1478</v>
      </c>
      <c r="U895" t="s">
        <v>198</v>
      </c>
      <c r="V895" t="s">
        <v>970</v>
      </c>
      <c r="W895">
        <v>1537.5</v>
      </c>
      <c r="X895" t="b">
        <v>0</v>
      </c>
    </row>
    <row r="896" spans="1:24" x14ac:dyDescent="0.25">
      <c r="A896">
        <v>895</v>
      </c>
      <c r="B896" t="s">
        <v>1479</v>
      </c>
      <c r="C896">
        <v>6</v>
      </c>
      <c r="D896">
        <v>35</v>
      </c>
      <c r="E896">
        <v>99</v>
      </c>
      <c r="F896">
        <v>1</v>
      </c>
      <c r="G896">
        <v>4</v>
      </c>
      <c r="H896">
        <v>2</v>
      </c>
      <c r="I896">
        <v>7</v>
      </c>
      <c r="J896">
        <v>1616</v>
      </c>
      <c r="K896">
        <v>3796</v>
      </c>
      <c r="L896">
        <v>1</v>
      </c>
      <c r="M896">
        <v>988</v>
      </c>
      <c r="N896">
        <v>1218</v>
      </c>
      <c r="O896">
        <v>1</v>
      </c>
      <c r="P896">
        <v>281</v>
      </c>
      <c r="Q896">
        <v>363</v>
      </c>
      <c r="R896">
        <v>1</v>
      </c>
      <c r="S896">
        <v>4000000</v>
      </c>
      <c r="T896" t="s">
        <v>1481</v>
      </c>
      <c r="U896" t="s">
        <v>198</v>
      </c>
      <c r="V896" t="s">
        <v>1480</v>
      </c>
      <c r="W896">
        <v>1537.5</v>
      </c>
      <c r="X896" t="b">
        <v>0</v>
      </c>
    </row>
    <row r="897" spans="1:24" x14ac:dyDescent="0.25">
      <c r="A897">
        <v>896</v>
      </c>
      <c r="B897" t="s">
        <v>1482</v>
      </c>
      <c r="C897">
        <v>3</v>
      </c>
      <c r="D897">
        <v>6</v>
      </c>
      <c r="E897">
        <v>25</v>
      </c>
      <c r="F897">
        <v>0</v>
      </c>
      <c r="G897" t="s">
        <v>112</v>
      </c>
      <c r="H897">
        <v>2</v>
      </c>
      <c r="I897" t="s">
        <v>112</v>
      </c>
      <c r="J897">
        <v>184</v>
      </c>
      <c r="K897">
        <v>828</v>
      </c>
      <c r="L897">
        <v>1</v>
      </c>
      <c r="M897">
        <v>98</v>
      </c>
      <c r="N897">
        <v>441</v>
      </c>
      <c r="O897">
        <v>1</v>
      </c>
      <c r="P897">
        <v>4</v>
      </c>
      <c r="Q897">
        <v>8</v>
      </c>
      <c r="R897">
        <v>1</v>
      </c>
      <c r="S897">
        <v>1500000</v>
      </c>
      <c r="T897" t="s">
        <v>112</v>
      </c>
      <c r="U897" t="s">
        <v>112</v>
      </c>
      <c r="W897">
        <v>337.5</v>
      </c>
      <c r="X897" t="b">
        <v>0</v>
      </c>
    </row>
    <row r="898" spans="1:24" x14ac:dyDescent="0.25">
      <c r="A898">
        <v>897</v>
      </c>
      <c r="B898" t="s">
        <v>1483</v>
      </c>
      <c r="C898">
        <v>4</v>
      </c>
      <c r="D898">
        <v>12</v>
      </c>
      <c r="E898">
        <v>70</v>
      </c>
      <c r="F898">
        <v>0</v>
      </c>
      <c r="G898" t="s">
        <v>112</v>
      </c>
      <c r="H898">
        <v>2</v>
      </c>
      <c r="I898" t="s">
        <v>112</v>
      </c>
      <c r="J898">
        <v>662</v>
      </c>
      <c r="K898">
        <v>1655</v>
      </c>
      <c r="L898">
        <v>1</v>
      </c>
      <c r="M898">
        <v>397</v>
      </c>
      <c r="N898">
        <v>993</v>
      </c>
      <c r="O898">
        <v>1</v>
      </c>
      <c r="P898">
        <v>7</v>
      </c>
      <c r="Q898">
        <v>15</v>
      </c>
      <c r="R898">
        <v>1</v>
      </c>
      <c r="S898">
        <v>3000000</v>
      </c>
      <c r="T898" t="s">
        <v>1484</v>
      </c>
      <c r="U898" t="s">
        <v>1333</v>
      </c>
      <c r="W898">
        <v>600</v>
      </c>
      <c r="X898" t="b">
        <v>0</v>
      </c>
    </row>
    <row r="899" spans="1:24" x14ac:dyDescent="0.25">
      <c r="A899">
        <v>898</v>
      </c>
      <c r="B899" t="s">
        <v>1485</v>
      </c>
      <c r="C899">
        <v>3</v>
      </c>
      <c r="D899">
        <v>6</v>
      </c>
      <c r="E899">
        <v>25</v>
      </c>
      <c r="F899">
        <v>1</v>
      </c>
      <c r="G899" t="s">
        <v>112</v>
      </c>
      <c r="H899">
        <v>2</v>
      </c>
      <c r="I899" t="s">
        <v>112</v>
      </c>
      <c r="J899">
        <v>190</v>
      </c>
      <c r="K899">
        <v>855</v>
      </c>
      <c r="L899">
        <v>1</v>
      </c>
      <c r="M899">
        <v>94</v>
      </c>
      <c r="N899">
        <v>423</v>
      </c>
      <c r="O899">
        <v>1</v>
      </c>
      <c r="P899">
        <v>6</v>
      </c>
      <c r="Q899">
        <v>13</v>
      </c>
      <c r="R899">
        <v>1</v>
      </c>
      <c r="S899">
        <v>1500000</v>
      </c>
      <c r="T899" t="s">
        <v>112</v>
      </c>
      <c r="U899" t="s">
        <v>112</v>
      </c>
      <c r="W899">
        <v>337.5</v>
      </c>
      <c r="X899" t="b">
        <v>0</v>
      </c>
    </row>
    <row r="900" spans="1:24" x14ac:dyDescent="0.25">
      <c r="A900">
        <v>899</v>
      </c>
      <c r="B900" t="s">
        <v>1486</v>
      </c>
      <c r="C900">
        <v>4</v>
      </c>
      <c r="D900">
        <v>12</v>
      </c>
      <c r="E900">
        <v>70</v>
      </c>
      <c r="F900">
        <v>1</v>
      </c>
      <c r="G900" t="s">
        <v>112</v>
      </c>
      <c r="H900">
        <v>2</v>
      </c>
      <c r="I900" t="s">
        <v>112</v>
      </c>
      <c r="J900">
        <v>684</v>
      </c>
      <c r="K900">
        <v>1710</v>
      </c>
      <c r="L900">
        <v>1</v>
      </c>
      <c r="M900">
        <v>381</v>
      </c>
      <c r="N900">
        <v>953</v>
      </c>
      <c r="O900">
        <v>1</v>
      </c>
      <c r="P900">
        <v>12</v>
      </c>
      <c r="Q900">
        <v>25</v>
      </c>
      <c r="R900">
        <v>1</v>
      </c>
      <c r="S900">
        <v>3000000</v>
      </c>
      <c r="T900" t="s">
        <v>1487</v>
      </c>
      <c r="U900" t="s">
        <v>1337</v>
      </c>
      <c r="W900">
        <v>600</v>
      </c>
      <c r="X900" t="b">
        <v>0</v>
      </c>
    </row>
    <row r="901" spans="1:24" x14ac:dyDescent="0.25">
      <c r="A901">
        <v>900</v>
      </c>
      <c r="B901" t="s">
        <v>1488</v>
      </c>
      <c r="C901">
        <v>3</v>
      </c>
      <c r="D901">
        <v>6</v>
      </c>
      <c r="E901">
        <v>25</v>
      </c>
      <c r="F901">
        <v>2</v>
      </c>
      <c r="G901" t="s">
        <v>112</v>
      </c>
      <c r="H901">
        <v>2</v>
      </c>
      <c r="I901" t="s">
        <v>112</v>
      </c>
      <c r="J901">
        <v>186</v>
      </c>
      <c r="K901">
        <v>837</v>
      </c>
      <c r="L901">
        <v>1</v>
      </c>
      <c r="M901">
        <v>96</v>
      </c>
      <c r="N901">
        <v>432</v>
      </c>
      <c r="O901">
        <v>1</v>
      </c>
      <c r="P901">
        <v>5</v>
      </c>
      <c r="Q901">
        <v>11</v>
      </c>
      <c r="R901">
        <v>1</v>
      </c>
      <c r="S901">
        <v>1500000</v>
      </c>
      <c r="T901" t="s">
        <v>112</v>
      </c>
      <c r="U901" t="s">
        <v>112</v>
      </c>
      <c r="W901">
        <v>337.5</v>
      </c>
      <c r="X901" t="b">
        <v>0</v>
      </c>
    </row>
    <row r="902" spans="1:24" x14ac:dyDescent="0.25">
      <c r="A902">
        <v>901</v>
      </c>
      <c r="B902" t="s">
        <v>1489</v>
      </c>
      <c r="C902">
        <v>4</v>
      </c>
      <c r="D902">
        <v>12</v>
      </c>
      <c r="E902">
        <v>70</v>
      </c>
      <c r="F902">
        <v>2</v>
      </c>
      <c r="G902" t="s">
        <v>112</v>
      </c>
      <c r="H902">
        <v>2</v>
      </c>
      <c r="I902" t="s">
        <v>112</v>
      </c>
      <c r="J902">
        <v>670</v>
      </c>
      <c r="K902">
        <v>1675</v>
      </c>
      <c r="L902">
        <v>1</v>
      </c>
      <c r="M902">
        <v>389</v>
      </c>
      <c r="N902">
        <v>973</v>
      </c>
      <c r="O902">
        <v>1</v>
      </c>
      <c r="P902">
        <v>10</v>
      </c>
      <c r="Q902">
        <v>21</v>
      </c>
      <c r="R902">
        <v>1</v>
      </c>
      <c r="S902">
        <v>3000000</v>
      </c>
      <c r="T902" t="s">
        <v>1490</v>
      </c>
      <c r="U902" t="s">
        <v>1341</v>
      </c>
      <c r="W902">
        <v>600</v>
      </c>
      <c r="X902" t="b">
        <v>0</v>
      </c>
    </row>
    <row r="903" spans="1:24" x14ac:dyDescent="0.25">
      <c r="A903">
        <v>902</v>
      </c>
      <c r="B903" t="s">
        <v>1491</v>
      </c>
      <c r="C903">
        <v>3</v>
      </c>
      <c r="D903">
        <v>6</v>
      </c>
      <c r="E903">
        <v>25</v>
      </c>
      <c r="F903">
        <v>3</v>
      </c>
      <c r="G903" t="s">
        <v>112</v>
      </c>
      <c r="H903">
        <v>2</v>
      </c>
      <c r="I903" t="s">
        <v>112</v>
      </c>
      <c r="J903">
        <v>119</v>
      </c>
      <c r="K903">
        <v>536</v>
      </c>
      <c r="L903">
        <v>1</v>
      </c>
      <c r="M903">
        <v>98</v>
      </c>
      <c r="N903">
        <v>441</v>
      </c>
      <c r="O903">
        <v>1</v>
      </c>
      <c r="P903">
        <v>48</v>
      </c>
      <c r="Q903">
        <v>101</v>
      </c>
      <c r="R903">
        <v>1</v>
      </c>
      <c r="S903">
        <v>1500000</v>
      </c>
      <c r="T903" t="s">
        <v>112</v>
      </c>
      <c r="U903" t="s">
        <v>112</v>
      </c>
      <c r="W903">
        <v>337.5</v>
      </c>
      <c r="X903" t="b">
        <v>0</v>
      </c>
    </row>
    <row r="904" spans="1:24" x14ac:dyDescent="0.25">
      <c r="A904">
        <v>903</v>
      </c>
      <c r="B904" t="s">
        <v>1492</v>
      </c>
      <c r="C904">
        <v>4</v>
      </c>
      <c r="D904">
        <v>12</v>
      </c>
      <c r="E904">
        <v>70</v>
      </c>
      <c r="F904">
        <v>3</v>
      </c>
      <c r="G904" t="s">
        <v>112</v>
      </c>
      <c r="H904">
        <v>2</v>
      </c>
      <c r="I904" t="s">
        <v>112</v>
      </c>
      <c r="J904">
        <v>429</v>
      </c>
      <c r="K904">
        <v>1273</v>
      </c>
      <c r="L904">
        <v>1</v>
      </c>
      <c r="M904">
        <v>397</v>
      </c>
      <c r="N904">
        <v>943</v>
      </c>
      <c r="O904">
        <v>1</v>
      </c>
      <c r="P904">
        <v>91</v>
      </c>
      <c r="Q904">
        <v>191</v>
      </c>
      <c r="R904">
        <v>1</v>
      </c>
      <c r="S904">
        <v>3000000</v>
      </c>
      <c r="T904" t="s">
        <v>1493</v>
      </c>
      <c r="U904" t="s">
        <v>1180</v>
      </c>
      <c r="W904">
        <v>600</v>
      </c>
      <c r="X904" t="b">
        <v>0</v>
      </c>
    </row>
    <row r="905" spans="1:24" x14ac:dyDescent="0.25">
      <c r="A905">
        <v>904</v>
      </c>
      <c r="B905" t="s">
        <v>1494</v>
      </c>
      <c r="C905">
        <v>3</v>
      </c>
      <c r="D905">
        <v>6</v>
      </c>
      <c r="E905">
        <v>25</v>
      </c>
      <c r="F905">
        <v>4</v>
      </c>
      <c r="G905" t="s">
        <v>112</v>
      </c>
      <c r="H905">
        <v>2</v>
      </c>
      <c r="I905" t="s">
        <v>112</v>
      </c>
      <c r="J905">
        <v>180</v>
      </c>
      <c r="K905">
        <v>810</v>
      </c>
      <c r="L905">
        <v>1</v>
      </c>
      <c r="M905">
        <v>99</v>
      </c>
      <c r="N905">
        <v>446</v>
      </c>
      <c r="O905">
        <v>1</v>
      </c>
      <c r="P905">
        <v>5</v>
      </c>
      <c r="Q905">
        <v>11</v>
      </c>
      <c r="R905">
        <v>1</v>
      </c>
      <c r="S905">
        <v>1500000</v>
      </c>
      <c r="T905" t="s">
        <v>112</v>
      </c>
      <c r="U905" t="s">
        <v>112</v>
      </c>
      <c r="W905">
        <v>337.5</v>
      </c>
      <c r="X905" t="b">
        <v>0</v>
      </c>
    </row>
    <row r="906" spans="1:24" x14ac:dyDescent="0.25">
      <c r="A906">
        <v>905</v>
      </c>
      <c r="B906" t="s">
        <v>1495</v>
      </c>
      <c r="C906">
        <v>4</v>
      </c>
      <c r="D906">
        <v>12</v>
      </c>
      <c r="E906">
        <v>70</v>
      </c>
      <c r="F906">
        <v>4</v>
      </c>
      <c r="G906" t="s">
        <v>112</v>
      </c>
      <c r="H906">
        <v>2</v>
      </c>
      <c r="I906" t="s">
        <v>112</v>
      </c>
      <c r="J906">
        <v>648</v>
      </c>
      <c r="K906">
        <v>1620</v>
      </c>
      <c r="L906">
        <v>1</v>
      </c>
      <c r="M906">
        <v>401</v>
      </c>
      <c r="N906">
        <v>1003</v>
      </c>
      <c r="O906">
        <v>1</v>
      </c>
      <c r="P906">
        <v>10</v>
      </c>
      <c r="Q906">
        <v>21</v>
      </c>
      <c r="R906">
        <v>1</v>
      </c>
      <c r="S906">
        <v>3000000</v>
      </c>
      <c r="T906" t="s">
        <v>1496</v>
      </c>
      <c r="U906" t="s">
        <v>1349</v>
      </c>
      <c r="W906">
        <v>600</v>
      </c>
      <c r="X906" t="b">
        <v>0</v>
      </c>
    </row>
    <row r="907" spans="1:24" x14ac:dyDescent="0.25">
      <c r="A907">
        <v>906</v>
      </c>
      <c r="B907" t="s">
        <v>1497</v>
      </c>
      <c r="C907">
        <v>4</v>
      </c>
      <c r="D907">
        <v>11</v>
      </c>
      <c r="E907">
        <v>99</v>
      </c>
      <c r="F907">
        <v>0</v>
      </c>
      <c r="G907" t="s">
        <v>112</v>
      </c>
      <c r="H907">
        <v>1</v>
      </c>
      <c r="I907" t="s">
        <v>112</v>
      </c>
      <c r="J907">
        <v>670</v>
      </c>
      <c r="K907">
        <v>1927</v>
      </c>
      <c r="L907">
        <v>1</v>
      </c>
      <c r="M907">
        <v>375</v>
      </c>
      <c r="N907">
        <v>1038</v>
      </c>
      <c r="O907">
        <v>1</v>
      </c>
      <c r="P907">
        <v>90</v>
      </c>
      <c r="Q907">
        <v>207</v>
      </c>
      <c r="R907">
        <v>1</v>
      </c>
      <c r="S907">
        <v>3000000</v>
      </c>
      <c r="T907" t="s">
        <v>1499</v>
      </c>
      <c r="U907" t="s">
        <v>226</v>
      </c>
      <c r="V907" t="s">
        <v>1498</v>
      </c>
      <c r="W907">
        <v>562.5</v>
      </c>
      <c r="X907" t="b">
        <v>0</v>
      </c>
    </row>
    <row r="908" spans="1:24" x14ac:dyDescent="0.25">
      <c r="A908">
        <v>907</v>
      </c>
      <c r="B908" t="s">
        <v>1500</v>
      </c>
      <c r="C908">
        <v>4</v>
      </c>
      <c r="D908">
        <v>11</v>
      </c>
      <c r="E908">
        <v>99</v>
      </c>
      <c r="F908">
        <v>1</v>
      </c>
      <c r="G908" t="s">
        <v>112</v>
      </c>
      <c r="H908">
        <v>1</v>
      </c>
      <c r="I908" t="s">
        <v>112</v>
      </c>
      <c r="J908">
        <v>710</v>
      </c>
      <c r="K908">
        <v>1955</v>
      </c>
      <c r="L908">
        <v>1</v>
      </c>
      <c r="M908">
        <v>360</v>
      </c>
      <c r="N908">
        <v>1000</v>
      </c>
      <c r="O908">
        <v>1</v>
      </c>
      <c r="P908">
        <v>105</v>
      </c>
      <c r="Q908">
        <v>221</v>
      </c>
      <c r="R908">
        <v>1</v>
      </c>
      <c r="S908">
        <v>3000000</v>
      </c>
      <c r="T908" t="s">
        <v>1502</v>
      </c>
      <c r="U908" t="s">
        <v>226</v>
      </c>
      <c r="V908" t="s">
        <v>1501</v>
      </c>
      <c r="W908">
        <v>562.5</v>
      </c>
      <c r="X908" t="b">
        <v>0</v>
      </c>
    </row>
    <row r="909" spans="1:24" x14ac:dyDescent="0.25">
      <c r="A909">
        <v>908</v>
      </c>
      <c r="B909" t="s">
        <v>1503</v>
      </c>
      <c r="C909">
        <v>4</v>
      </c>
      <c r="D909">
        <v>11</v>
      </c>
      <c r="E909">
        <v>99</v>
      </c>
      <c r="F909">
        <v>2</v>
      </c>
      <c r="G909" t="s">
        <v>112</v>
      </c>
      <c r="H909">
        <v>1</v>
      </c>
      <c r="I909" t="s">
        <v>112</v>
      </c>
      <c r="J909">
        <v>690</v>
      </c>
      <c r="K909">
        <v>1949</v>
      </c>
      <c r="L909">
        <v>1</v>
      </c>
      <c r="M909">
        <v>372</v>
      </c>
      <c r="N909">
        <v>1035</v>
      </c>
      <c r="O909">
        <v>1</v>
      </c>
      <c r="P909">
        <v>97</v>
      </c>
      <c r="Q909">
        <v>204</v>
      </c>
      <c r="R909">
        <v>1</v>
      </c>
      <c r="S909">
        <v>3000000</v>
      </c>
      <c r="T909" t="s">
        <v>1502</v>
      </c>
      <c r="U909" t="s">
        <v>226</v>
      </c>
      <c r="V909" t="s">
        <v>1504</v>
      </c>
      <c r="W909">
        <v>562.5</v>
      </c>
      <c r="X909" t="b">
        <v>0</v>
      </c>
    </row>
    <row r="910" spans="1:24" x14ac:dyDescent="0.25">
      <c r="A910">
        <v>909</v>
      </c>
      <c r="B910" t="s">
        <v>1505</v>
      </c>
      <c r="C910">
        <v>4</v>
      </c>
      <c r="D910">
        <v>11</v>
      </c>
      <c r="E910">
        <v>99</v>
      </c>
      <c r="F910">
        <v>3</v>
      </c>
      <c r="G910" t="s">
        <v>112</v>
      </c>
      <c r="H910">
        <v>1</v>
      </c>
      <c r="I910" t="s">
        <v>112</v>
      </c>
      <c r="J910">
        <v>650</v>
      </c>
      <c r="K910">
        <v>1930</v>
      </c>
      <c r="L910">
        <v>1</v>
      </c>
      <c r="M910">
        <v>365</v>
      </c>
      <c r="N910">
        <v>1013</v>
      </c>
      <c r="O910">
        <v>1</v>
      </c>
      <c r="P910">
        <v>105</v>
      </c>
      <c r="Q910">
        <v>221</v>
      </c>
      <c r="R910">
        <v>1</v>
      </c>
      <c r="S910">
        <v>3000000</v>
      </c>
      <c r="T910" t="s">
        <v>1506</v>
      </c>
      <c r="U910" t="s">
        <v>226</v>
      </c>
      <c r="V910" t="s">
        <v>1498</v>
      </c>
      <c r="W910">
        <v>562.5</v>
      </c>
      <c r="X910" t="b">
        <v>0</v>
      </c>
    </row>
    <row r="911" spans="1:24" x14ac:dyDescent="0.25">
      <c r="A911">
        <v>910</v>
      </c>
      <c r="B911" t="s">
        <v>1507</v>
      </c>
      <c r="C911">
        <v>4</v>
      </c>
      <c r="D911">
        <v>11</v>
      </c>
      <c r="E911">
        <v>99</v>
      </c>
      <c r="F911">
        <v>4</v>
      </c>
      <c r="G911" t="s">
        <v>112</v>
      </c>
      <c r="H911">
        <v>1</v>
      </c>
      <c r="I911" t="s">
        <v>112</v>
      </c>
      <c r="J911">
        <v>700</v>
      </c>
      <c r="K911">
        <v>1970</v>
      </c>
      <c r="L911">
        <v>1</v>
      </c>
      <c r="M911">
        <v>377</v>
      </c>
      <c r="N911">
        <v>1043</v>
      </c>
      <c r="O911">
        <v>1</v>
      </c>
      <c r="P911">
        <v>90</v>
      </c>
      <c r="Q911">
        <v>191</v>
      </c>
      <c r="R911">
        <v>1</v>
      </c>
      <c r="S911">
        <v>3000000</v>
      </c>
      <c r="T911" t="s">
        <v>1499</v>
      </c>
      <c r="U911" t="s">
        <v>226</v>
      </c>
      <c r="V911" t="s">
        <v>1501</v>
      </c>
      <c r="W911">
        <v>562.5</v>
      </c>
      <c r="X911" t="b">
        <v>0</v>
      </c>
    </row>
    <row r="912" spans="1:24" x14ac:dyDescent="0.25">
      <c r="A912">
        <v>911</v>
      </c>
      <c r="B912" t="s">
        <v>1508</v>
      </c>
      <c r="C912">
        <v>5</v>
      </c>
      <c r="D912">
        <v>30</v>
      </c>
      <c r="E912">
        <v>50</v>
      </c>
      <c r="F912">
        <v>0</v>
      </c>
      <c r="G912">
        <v>4</v>
      </c>
      <c r="H912">
        <v>4</v>
      </c>
      <c r="I912">
        <v>7</v>
      </c>
      <c r="J912">
        <v>954</v>
      </c>
      <c r="K912">
        <v>2290</v>
      </c>
      <c r="L912">
        <v>1</v>
      </c>
      <c r="M912">
        <v>350</v>
      </c>
      <c r="N912">
        <v>770</v>
      </c>
      <c r="O912">
        <v>1</v>
      </c>
      <c r="P912">
        <v>29</v>
      </c>
      <c r="Q912">
        <v>73</v>
      </c>
      <c r="R912">
        <v>1</v>
      </c>
      <c r="S912">
        <v>5000000</v>
      </c>
      <c r="T912" t="s">
        <v>1509</v>
      </c>
      <c r="U912" t="s">
        <v>1510</v>
      </c>
      <c r="W912">
        <v>1312.5</v>
      </c>
      <c r="X912" t="b">
        <v>0</v>
      </c>
    </row>
    <row r="913" spans="1:26" x14ac:dyDescent="0.25">
      <c r="A913">
        <v>912</v>
      </c>
      <c r="B913" t="s">
        <v>1511</v>
      </c>
      <c r="C913">
        <v>6</v>
      </c>
      <c r="D913">
        <v>50</v>
      </c>
      <c r="E913">
        <v>99</v>
      </c>
      <c r="F913">
        <v>0</v>
      </c>
      <c r="G913">
        <v>4</v>
      </c>
      <c r="H913">
        <v>4</v>
      </c>
      <c r="I913">
        <v>7</v>
      </c>
      <c r="J913">
        <v>1832</v>
      </c>
      <c r="K913">
        <v>3097</v>
      </c>
      <c r="L913">
        <v>1</v>
      </c>
      <c r="M913">
        <v>693</v>
      </c>
      <c r="N913">
        <v>1875</v>
      </c>
      <c r="O913">
        <v>1</v>
      </c>
      <c r="P913">
        <v>66</v>
      </c>
      <c r="Q913">
        <v>165</v>
      </c>
      <c r="R913">
        <v>1</v>
      </c>
      <c r="S913">
        <v>5000000</v>
      </c>
      <c r="T913" t="s">
        <v>1509</v>
      </c>
      <c r="U913" t="s">
        <v>1510</v>
      </c>
      <c r="V913" t="s">
        <v>1512</v>
      </c>
      <c r="W913">
        <v>2100</v>
      </c>
      <c r="X913" t="b">
        <v>0</v>
      </c>
    </row>
    <row r="914" spans="1:26" x14ac:dyDescent="0.25">
      <c r="A914">
        <v>913</v>
      </c>
      <c r="B914" t="s">
        <v>1513</v>
      </c>
      <c r="C914">
        <v>6</v>
      </c>
      <c r="D914">
        <v>40</v>
      </c>
      <c r="E914">
        <v>50</v>
      </c>
      <c r="F914">
        <v>2</v>
      </c>
      <c r="G914">
        <v>4</v>
      </c>
      <c r="H914">
        <v>4</v>
      </c>
      <c r="I914">
        <v>1</v>
      </c>
      <c r="J914">
        <v>1028</v>
      </c>
      <c r="K914">
        <v>2467</v>
      </c>
      <c r="L914">
        <v>1</v>
      </c>
      <c r="M914">
        <v>303</v>
      </c>
      <c r="N914">
        <v>667</v>
      </c>
      <c r="O914">
        <v>1</v>
      </c>
      <c r="P914">
        <v>54</v>
      </c>
      <c r="Q914">
        <v>135</v>
      </c>
      <c r="R914">
        <v>1</v>
      </c>
      <c r="S914">
        <v>5000000</v>
      </c>
      <c r="T914" t="s">
        <v>1514</v>
      </c>
      <c r="U914" t="s">
        <v>1515</v>
      </c>
      <c r="W914">
        <v>1725</v>
      </c>
      <c r="X914" t="b">
        <v>0</v>
      </c>
    </row>
    <row r="915" spans="1:26" x14ac:dyDescent="0.25">
      <c r="A915">
        <v>914</v>
      </c>
      <c r="B915" t="s">
        <v>1516</v>
      </c>
      <c r="C915">
        <v>7</v>
      </c>
      <c r="D915">
        <v>60</v>
      </c>
      <c r="E915">
        <v>99</v>
      </c>
      <c r="F915">
        <v>2</v>
      </c>
      <c r="G915">
        <v>4</v>
      </c>
      <c r="H915">
        <v>4</v>
      </c>
      <c r="I915">
        <v>1</v>
      </c>
      <c r="J915">
        <v>1974</v>
      </c>
      <c r="K915">
        <v>3238</v>
      </c>
      <c r="L915">
        <v>1</v>
      </c>
      <c r="M915">
        <v>600</v>
      </c>
      <c r="N915">
        <v>1720</v>
      </c>
      <c r="O915">
        <v>1</v>
      </c>
      <c r="P915">
        <v>122</v>
      </c>
      <c r="Q915">
        <v>275</v>
      </c>
      <c r="R915">
        <v>1</v>
      </c>
      <c r="S915">
        <v>5000000</v>
      </c>
      <c r="T915" t="s">
        <v>1514</v>
      </c>
      <c r="U915" t="s">
        <v>1515</v>
      </c>
      <c r="V915" t="s">
        <v>1517</v>
      </c>
      <c r="W915">
        <v>2512.5</v>
      </c>
      <c r="X915" t="b">
        <v>0</v>
      </c>
    </row>
    <row r="916" spans="1:26" x14ac:dyDescent="0.25">
      <c r="A916">
        <v>915</v>
      </c>
      <c r="B916" t="s">
        <v>1518</v>
      </c>
      <c r="C916">
        <v>7</v>
      </c>
      <c r="D916">
        <v>1</v>
      </c>
      <c r="E916">
        <v>1</v>
      </c>
      <c r="F916">
        <v>3</v>
      </c>
      <c r="G916" t="s">
        <v>112</v>
      </c>
      <c r="H916">
        <v>0</v>
      </c>
      <c r="I916" t="s">
        <v>112</v>
      </c>
      <c r="J916">
        <v>777</v>
      </c>
      <c r="K916">
        <v>777</v>
      </c>
      <c r="L916">
        <v>1</v>
      </c>
      <c r="M916">
        <v>500</v>
      </c>
      <c r="N916">
        <v>500</v>
      </c>
      <c r="O916">
        <v>1</v>
      </c>
      <c r="P916">
        <v>300</v>
      </c>
      <c r="Q916">
        <v>300</v>
      </c>
      <c r="R916">
        <v>1</v>
      </c>
      <c r="S916">
        <v>1500000</v>
      </c>
      <c r="T916" t="s">
        <v>112</v>
      </c>
      <c r="U916" t="s">
        <v>1148</v>
      </c>
      <c r="W916">
        <v>10000</v>
      </c>
      <c r="X916" t="b">
        <v>0</v>
      </c>
    </row>
    <row r="917" spans="1:26" x14ac:dyDescent="0.25">
      <c r="A917">
        <v>916</v>
      </c>
      <c r="B917" t="s">
        <v>1519</v>
      </c>
      <c r="C917">
        <v>7</v>
      </c>
      <c r="D917">
        <v>1</v>
      </c>
      <c r="E917">
        <v>1</v>
      </c>
      <c r="F917">
        <v>4</v>
      </c>
      <c r="G917" t="s">
        <v>112</v>
      </c>
      <c r="H917">
        <v>0</v>
      </c>
      <c r="I917" t="s">
        <v>112</v>
      </c>
      <c r="J917">
        <v>666</v>
      </c>
      <c r="K917">
        <v>666</v>
      </c>
      <c r="L917">
        <v>1</v>
      </c>
      <c r="M917">
        <v>666</v>
      </c>
      <c r="N917">
        <v>666</v>
      </c>
      <c r="O917">
        <v>1</v>
      </c>
      <c r="P917">
        <v>250</v>
      </c>
      <c r="Q917">
        <v>250</v>
      </c>
      <c r="R917">
        <v>1</v>
      </c>
      <c r="S917">
        <v>1500000</v>
      </c>
      <c r="T917" t="s">
        <v>112</v>
      </c>
      <c r="U917" t="s">
        <v>1185</v>
      </c>
      <c r="W917">
        <v>10000</v>
      </c>
      <c r="X917" t="b">
        <v>0</v>
      </c>
    </row>
    <row r="918" spans="1:26" x14ac:dyDescent="0.25">
      <c r="A918">
        <v>917</v>
      </c>
      <c r="B918" t="s">
        <v>1520</v>
      </c>
      <c r="C918">
        <v>8</v>
      </c>
      <c r="D918">
        <v>60</v>
      </c>
      <c r="E918">
        <v>99</v>
      </c>
      <c r="F918">
        <v>3</v>
      </c>
      <c r="G918">
        <v>3</v>
      </c>
      <c r="H918">
        <v>5</v>
      </c>
      <c r="I918" t="s">
        <v>112</v>
      </c>
      <c r="J918">
        <v>1580</v>
      </c>
      <c r="K918">
        <v>3687</v>
      </c>
      <c r="L918">
        <v>1.5</v>
      </c>
      <c r="M918">
        <v>805</v>
      </c>
      <c r="N918">
        <v>1472</v>
      </c>
      <c r="O918">
        <v>1.5</v>
      </c>
      <c r="P918">
        <v>195</v>
      </c>
      <c r="Q918">
        <v>360</v>
      </c>
      <c r="R918">
        <v>1.5</v>
      </c>
      <c r="S918">
        <v>4000000</v>
      </c>
      <c r="T918" t="s">
        <v>1521</v>
      </c>
      <c r="U918" t="s">
        <v>404</v>
      </c>
      <c r="V918" t="s">
        <v>406</v>
      </c>
      <c r="W918">
        <v>2550</v>
      </c>
      <c r="X918" t="b">
        <v>0</v>
      </c>
    </row>
    <row r="919" spans="1:26" x14ac:dyDescent="0.25">
      <c r="A919">
        <v>918</v>
      </c>
      <c r="B919" t="s">
        <v>1522</v>
      </c>
      <c r="C919">
        <v>8</v>
      </c>
      <c r="D919">
        <v>60</v>
      </c>
      <c r="E919">
        <v>99</v>
      </c>
      <c r="F919">
        <v>4</v>
      </c>
      <c r="G919">
        <v>3</v>
      </c>
      <c r="H919">
        <v>5</v>
      </c>
      <c r="I919" t="s">
        <v>112</v>
      </c>
      <c r="J919">
        <v>1580</v>
      </c>
      <c r="K919">
        <v>4087</v>
      </c>
      <c r="L919">
        <v>1.5</v>
      </c>
      <c r="M919">
        <v>805</v>
      </c>
      <c r="N919">
        <v>1722</v>
      </c>
      <c r="O919">
        <v>1.5</v>
      </c>
      <c r="P919">
        <v>195</v>
      </c>
      <c r="Q919">
        <v>-100</v>
      </c>
      <c r="R919">
        <v>1.5</v>
      </c>
      <c r="S919">
        <v>4000000</v>
      </c>
      <c r="T919" t="s">
        <v>1523</v>
      </c>
      <c r="U919" t="s">
        <v>404</v>
      </c>
      <c r="V919" t="s">
        <v>409</v>
      </c>
      <c r="W919">
        <v>2550</v>
      </c>
      <c r="X919" t="b">
        <v>0</v>
      </c>
    </row>
    <row r="920" spans="1:26" x14ac:dyDescent="0.25">
      <c r="A920">
        <v>919</v>
      </c>
      <c r="B920" t="s">
        <v>1524</v>
      </c>
      <c r="C920">
        <v>6</v>
      </c>
      <c r="D920">
        <v>26</v>
      </c>
      <c r="E920">
        <v>99</v>
      </c>
      <c r="F920">
        <v>0</v>
      </c>
      <c r="G920">
        <v>0</v>
      </c>
      <c r="H920">
        <v>1</v>
      </c>
      <c r="I920">
        <v>7</v>
      </c>
      <c r="J920">
        <v>447</v>
      </c>
      <c r="K920">
        <v>2028</v>
      </c>
      <c r="L920">
        <v>1</v>
      </c>
      <c r="M920">
        <v>529</v>
      </c>
      <c r="N920">
        <v>1320</v>
      </c>
      <c r="O920">
        <v>1</v>
      </c>
      <c r="P920">
        <v>244</v>
      </c>
      <c r="Q920">
        <v>366</v>
      </c>
      <c r="R920">
        <v>1</v>
      </c>
      <c r="S920">
        <v>3000000</v>
      </c>
      <c r="T920" t="s">
        <v>665</v>
      </c>
      <c r="U920" t="s">
        <v>666</v>
      </c>
      <c r="V920" t="s">
        <v>668</v>
      </c>
      <c r="W920">
        <v>1200</v>
      </c>
      <c r="X920" t="b">
        <v>0</v>
      </c>
    </row>
    <row r="921" spans="1:26" x14ac:dyDescent="0.25">
      <c r="A921">
        <v>920</v>
      </c>
      <c r="B921" t="s">
        <v>1525</v>
      </c>
      <c r="C921">
        <v>6</v>
      </c>
      <c r="D921">
        <v>26</v>
      </c>
      <c r="E921">
        <v>99</v>
      </c>
      <c r="F921">
        <v>1</v>
      </c>
      <c r="G921">
        <v>1</v>
      </c>
      <c r="H921">
        <v>1</v>
      </c>
      <c r="I921" t="s">
        <v>112</v>
      </c>
      <c r="J921">
        <v>437</v>
      </c>
      <c r="K921">
        <v>2005</v>
      </c>
      <c r="L921">
        <v>1</v>
      </c>
      <c r="M921">
        <v>497</v>
      </c>
      <c r="N921">
        <v>1193</v>
      </c>
      <c r="O921">
        <v>1</v>
      </c>
      <c r="P921">
        <v>259</v>
      </c>
      <c r="Q921">
        <v>419</v>
      </c>
      <c r="R921">
        <v>1</v>
      </c>
      <c r="S921">
        <v>3000000</v>
      </c>
      <c r="T921" t="s">
        <v>670</v>
      </c>
      <c r="U921" t="s">
        <v>671</v>
      </c>
      <c r="V921" t="s">
        <v>673</v>
      </c>
      <c r="W921">
        <v>1200</v>
      </c>
      <c r="X921" t="b">
        <v>0</v>
      </c>
    </row>
    <row r="922" spans="1:26" x14ac:dyDescent="0.25">
      <c r="A922">
        <v>921</v>
      </c>
      <c r="B922" t="s">
        <v>1526</v>
      </c>
      <c r="C922">
        <v>6</v>
      </c>
      <c r="D922">
        <v>26</v>
      </c>
      <c r="E922">
        <v>99</v>
      </c>
      <c r="F922">
        <v>2</v>
      </c>
      <c r="G922">
        <v>2</v>
      </c>
      <c r="H922">
        <v>1</v>
      </c>
      <c r="I922" t="s">
        <v>112</v>
      </c>
      <c r="J922">
        <v>429</v>
      </c>
      <c r="K922">
        <v>2087</v>
      </c>
      <c r="L922">
        <v>1</v>
      </c>
      <c r="M922">
        <v>510</v>
      </c>
      <c r="N922">
        <v>1224</v>
      </c>
      <c r="O922">
        <v>1</v>
      </c>
      <c r="P922">
        <v>249</v>
      </c>
      <c r="Q922">
        <v>374</v>
      </c>
      <c r="R922">
        <v>1</v>
      </c>
      <c r="S922">
        <v>3000000</v>
      </c>
      <c r="T922" t="s">
        <v>675</v>
      </c>
      <c r="U922" t="s">
        <v>676</v>
      </c>
      <c r="V922" t="s">
        <v>678</v>
      </c>
      <c r="W922">
        <v>1200</v>
      </c>
      <c r="X922" t="b">
        <v>0</v>
      </c>
    </row>
    <row r="923" spans="1:26" x14ac:dyDescent="0.25">
      <c r="A923">
        <v>922</v>
      </c>
      <c r="B923" t="s">
        <v>1527</v>
      </c>
      <c r="C923">
        <v>6</v>
      </c>
      <c r="D923">
        <v>26</v>
      </c>
      <c r="E923">
        <v>99</v>
      </c>
      <c r="F923">
        <v>3</v>
      </c>
      <c r="G923">
        <v>3</v>
      </c>
      <c r="H923">
        <v>1</v>
      </c>
      <c r="I923" t="s">
        <v>112</v>
      </c>
      <c r="J923">
        <v>418</v>
      </c>
      <c r="K923">
        <v>1961</v>
      </c>
      <c r="L923">
        <v>1</v>
      </c>
      <c r="M923">
        <v>503</v>
      </c>
      <c r="N923">
        <v>1207</v>
      </c>
      <c r="O923">
        <v>1</v>
      </c>
      <c r="P923">
        <v>265</v>
      </c>
      <c r="Q923">
        <v>428</v>
      </c>
      <c r="R923">
        <v>1</v>
      </c>
      <c r="S923">
        <v>3000000</v>
      </c>
      <c r="T923" t="s">
        <v>680</v>
      </c>
      <c r="U923" t="s">
        <v>681</v>
      </c>
      <c r="V923" t="s">
        <v>683</v>
      </c>
      <c r="W923">
        <v>1200</v>
      </c>
      <c r="X923" t="b">
        <v>0</v>
      </c>
    </row>
    <row r="924" spans="1:26" x14ac:dyDescent="0.25">
      <c r="A924">
        <v>923</v>
      </c>
      <c r="B924" t="s">
        <v>1528</v>
      </c>
      <c r="C924">
        <v>6</v>
      </c>
      <c r="D924">
        <v>26</v>
      </c>
      <c r="E924">
        <v>99</v>
      </c>
      <c r="F924">
        <v>4</v>
      </c>
      <c r="G924">
        <v>4</v>
      </c>
      <c r="H924">
        <v>1</v>
      </c>
      <c r="I924">
        <v>7</v>
      </c>
      <c r="J924">
        <v>434</v>
      </c>
      <c r="K924">
        <v>1998</v>
      </c>
      <c r="L924">
        <v>1</v>
      </c>
      <c r="M924">
        <v>522</v>
      </c>
      <c r="N924">
        <v>1303</v>
      </c>
      <c r="O924">
        <v>1</v>
      </c>
      <c r="P924">
        <v>229</v>
      </c>
      <c r="Q924">
        <v>344</v>
      </c>
      <c r="R924">
        <v>1</v>
      </c>
      <c r="S924">
        <v>3000000</v>
      </c>
      <c r="T924" t="s">
        <v>685</v>
      </c>
      <c r="U924" t="s">
        <v>686</v>
      </c>
      <c r="V924" t="s">
        <v>688</v>
      </c>
      <c r="W924">
        <v>1200</v>
      </c>
      <c r="X924" t="b">
        <v>0</v>
      </c>
    </row>
    <row r="925" spans="1:26" x14ac:dyDescent="0.25">
      <c r="A925">
        <v>924</v>
      </c>
      <c r="B925" t="s">
        <v>1529</v>
      </c>
      <c r="C925">
        <v>4</v>
      </c>
      <c r="D925">
        <v>10</v>
      </c>
      <c r="E925">
        <v>50</v>
      </c>
      <c r="F925">
        <v>4</v>
      </c>
      <c r="G925" t="s">
        <v>112</v>
      </c>
      <c r="H925">
        <v>7</v>
      </c>
      <c r="I925" t="s">
        <v>112</v>
      </c>
      <c r="J925">
        <v>288</v>
      </c>
      <c r="K925">
        <v>1296</v>
      </c>
      <c r="L925">
        <v>1</v>
      </c>
      <c r="M925">
        <v>9240</v>
      </c>
      <c r="N925">
        <v>669</v>
      </c>
      <c r="O925">
        <v>1</v>
      </c>
      <c r="P925">
        <v>0</v>
      </c>
      <c r="Q925">
        <v>0</v>
      </c>
      <c r="R925">
        <v>1</v>
      </c>
      <c r="S925">
        <v>3000000</v>
      </c>
      <c r="T925" t="s">
        <v>1530</v>
      </c>
      <c r="U925" t="s">
        <v>112</v>
      </c>
      <c r="W925">
        <v>184</v>
      </c>
      <c r="X925">
        <v>525</v>
      </c>
      <c r="Y925">
        <v>828</v>
      </c>
      <c r="Z925" t="b">
        <v>0</v>
      </c>
    </row>
    <row r="926" spans="1:26" x14ac:dyDescent="0.25">
      <c r="A926">
        <v>925</v>
      </c>
      <c r="B926" t="s">
        <v>1531</v>
      </c>
      <c r="C926">
        <v>5</v>
      </c>
      <c r="D926">
        <v>20</v>
      </c>
      <c r="E926">
        <v>99</v>
      </c>
      <c r="F926">
        <v>4</v>
      </c>
      <c r="G926" t="s">
        <v>112</v>
      </c>
      <c r="H926">
        <v>7</v>
      </c>
      <c r="I926" t="s">
        <v>112</v>
      </c>
      <c r="J926">
        <v>1037</v>
      </c>
      <c r="K926">
        <v>2593</v>
      </c>
      <c r="L926">
        <v>1</v>
      </c>
      <c r="M926">
        <v>9250</v>
      </c>
      <c r="N926">
        <v>670</v>
      </c>
      <c r="O926">
        <v>1</v>
      </c>
      <c r="P926">
        <v>0</v>
      </c>
      <c r="Q926">
        <v>0</v>
      </c>
      <c r="R926">
        <v>1</v>
      </c>
      <c r="S926">
        <v>4000000</v>
      </c>
      <c r="T926" t="s">
        <v>1530</v>
      </c>
      <c r="U926" t="s">
        <v>1533</v>
      </c>
      <c r="V926" t="s">
        <v>1532</v>
      </c>
      <c r="W926">
        <v>745</v>
      </c>
      <c r="X926">
        <v>937.5</v>
      </c>
      <c r="Y926">
        <v>1863</v>
      </c>
      <c r="Z926" t="b">
        <v>0</v>
      </c>
    </row>
    <row r="927" spans="1:26" x14ac:dyDescent="0.25">
      <c r="A927">
        <v>926</v>
      </c>
      <c r="B927" t="s">
        <v>1534</v>
      </c>
      <c r="C927">
        <v>4</v>
      </c>
      <c r="D927">
        <v>10</v>
      </c>
      <c r="E927">
        <v>50</v>
      </c>
      <c r="F927">
        <v>0</v>
      </c>
      <c r="G927" t="s">
        <v>112</v>
      </c>
      <c r="H927">
        <v>3</v>
      </c>
      <c r="I927" t="s">
        <v>112</v>
      </c>
      <c r="J927">
        <v>115</v>
      </c>
      <c r="K927">
        <v>518</v>
      </c>
      <c r="L927">
        <v>1</v>
      </c>
      <c r="M927">
        <v>9260</v>
      </c>
      <c r="N927">
        <v>671</v>
      </c>
      <c r="O927">
        <v>1</v>
      </c>
      <c r="P927">
        <v>163</v>
      </c>
      <c r="Q927">
        <v>342</v>
      </c>
      <c r="R927">
        <v>1</v>
      </c>
      <c r="S927">
        <v>3000000</v>
      </c>
      <c r="T927" t="s">
        <v>1535</v>
      </c>
      <c r="U927" t="s">
        <v>1536</v>
      </c>
      <c r="W927">
        <v>138</v>
      </c>
      <c r="X927">
        <v>525</v>
      </c>
      <c r="Y927">
        <v>621</v>
      </c>
      <c r="Z927" t="b">
        <v>0</v>
      </c>
    </row>
    <row r="928" spans="1:26" x14ac:dyDescent="0.25">
      <c r="A928">
        <v>927</v>
      </c>
      <c r="B928" t="s">
        <v>1537</v>
      </c>
      <c r="C928">
        <v>5</v>
      </c>
      <c r="D928">
        <v>20</v>
      </c>
      <c r="E928">
        <v>99</v>
      </c>
      <c r="F928">
        <v>0</v>
      </c>
      <c r="G928" t="s">
        <v>112</v>
      </c>
      <c r="H928">
        <v>3</v>
      </c>
      <c r="I928" t="s">
        <v>112</v>
      </c>
      <c r="J928">
        <v>414</v>
      </c>
      <c r="K928">
        <v>1035</v>
      </c>
      <c r="L928">
        <v>1</v>
      </c>
      <c r="M928">
        <v>9270</v>
      </c>
      <c r="N928">
        <v>672</v>
      </c>
      <c r="O928">
        <v>1</v>
      </c>
      <c r="P928">
        <v>308</v>
      </c>
      <c r="Q928">
        <v>647</v>
      </c>
      <c r="R928">
        <v>1</v>
      </c>
      <c r="S928">
        <v>3000000</v>
      </c>
      <c r="T928" t="s">
        <v>1535</v>
      </c>
      <c r="U928" t="s">
        <v>1536</v>
      </c>
      <c r="V928" t="s">
        <v>1538</v>
      </c>
      <c r="W928">
        <v>559</v>
      </c>
      <c r="X928">
        <v>937.5</v>
      </c>
      <c r="Y928">
        <v>1398</v>
      </c>
      <c r="Z928" t="b">
        <v>0</v>
      </c>
    </row>
    <row r="929" spans="1:26" x14ac:dyDescent="0.25">
      <c r="A929">
        <v>928</v>
      </c>
      <c r="B929" t="s">
        <v>1539</v>
      </c>
      <c r="C929">
        <v>4</v>
      </c>
      <c r="D929">
        <v>10</v>
      </c>
      <c r="E929">
        <v>50</v>
      </c>
      <c r="F929">
        <v>2</v>
      </c>
      <c r="G929" t="s">
        <v>112</v>
      </c>
      <c r="H929">
        <v>1</v>
      </c>
      <c r="I929" t="s">
        <v>112</v>
      </c>
      <c r="J929">
        <v>294</v>
      </c>
      <c r="K929">
        <v>1323</v>
      </c>
      <c r="L929">
        <v>1</v>
      </c>
      <c r="M929">
        <v>9280</v>
      </c>
      <c r="N929">
        <v>673</v>
      </c>
      <c r="O929">
        <v>1</v>
      </c>
      <c r="P929">
        <v>77</v>
      </c>
      <c r="Q929">
        <v>162</v>
      </c>
      <c r="R929">
        <v>1</v>
      </c>
      <c r="S929">
        <v>3000000</v>
      </c>
      <c r="T929" t="s">
        <v>1540</v>
      </c>
      <c r="U929" t="s">
        <v>1541</v>
      </c>
      <c r="W929">
        <v>115</v>
      </c>
      <c r="X929">
        <v>525</v>
      </c>
      <c r="Y929">
        <v>518</v>
      </c>
      <c r="Z929" t="b">
        <v>0</v>
      </c>
    </row>
    <row r="930" spans="1:26" x14ac:dyDescent="0.25">
      <c r="A930">
        <v>929</v>
      </c>
      <c r="B930" t="s">
        <v>1542</v>
      </c>
      <c r="C930">
        <v>5</v>
      </c>
      <c r="D930">
        <v>20</v>
      </c>
      <c r="E930">
        <v>99</v>
      </c>
      <c r="F930">
        <v>2</v>
      </c>
      <c r="G930" t="s">
        <v>112</v>
      </c>
      <c r="H930">
        <v>1</v>
      </c>
      <c r="I930" t="s">
        <v>112</v>
      </c>
      <c r="J930">
        <v>1058</v>
      </c>
      <c r="K930">
        <v>2645</v>
      </c>
      <c r="L930">
        <v>1</v>
      </c>
      <c r="M930">
        <v>9290</v>
      </c>
      <c r="N930">
        <v>674</v>
      </c>
      <c r="O930">
        <v>1</v>
      </c>
      <c r="P930">
        <v>146</v>
      </c>
      <c r="Q930">
        <v>307</v>
      </c>
      <c r="R930">
        <v>1</v>
      </c>
      <c r="S930">
        <v>3000000</v>
      </c>
      <c r="T930" t="s">
        <v>1540</v>
      </c>
      <c r="U930" t="s">
        <v>1541</v>
      </c>
      <c r="V930" t="s">
        <v>1543</v>
      </c>
      <c r="W930">
        <v>466</v>
      </c>
      <c r="X930">
        <v>937.5</v>
      </c>
      <c r="Y930">
        <v>1165</v>
      </c>
      <c r="Z930" t="b">
        <v>0</v>
      </c>
    </row>
    <row r="931" spans="1:26" x14ac:dyDescent="0.25">
      <c r="A931">
        <v>930</v>
      </c>
      <c r="B931" t="s">
        <v>1544</v>
      </c>
      <c r="C931">
        <v>5</v>
      </c>
      <c r="D931">
        <v>15</v>
      </c>
      <c r="E931">
        <v>50</v>
      </c>
      <c r="F931">
        <v>4</v>
      </c>
      <c r="G931">
        <v>3</v>
      </c>
      <c r="H931">
        <v>2</v>
      </c>
      <c r="I931" t="s">
        <v>112</v>
      </c>
      <c r="J931">
        <v>389</v>
      </c>
      <c r="K931">
        <v>1751</v>
      </c>
      <c r="L931">
        <v>1</v>
      </c>
      <c r="M931">
        <v>9300</v>
      </c>
      <c r="N931">
        <v>675</v>
      </c>
      <c r="O931">
        <v>1</v>
      </c>
      <c r="P931">
        <v>8</v>
      </c>
      <c r="Q931">
        <v>17</v>
      </c>
      <c r="R931">
        <v>1</v>
      </c>
      <c r="S931">
        <v>4000000</v>
      </c>
      <c r="T931" t="s">
        <v>1545</v>
      </c>
      <c r="U931" t="s">
        <v>1546</v>
      </c>
      <c r="W931">
        <v>133</v>
      </c>
      <c r="X931">
        <v>750</v>
      </c>
      <c r="Y931">
        <v>599</v>
      </c>
      <c r="Z931" t="b">
        <v>0</v>
      </c>
    </row>
    <row r="932" spans="1:26" x14ac:dyDescent="0.25">
      <c r="A932">
        <v>931</v>
      </c>
      <c r="B932" t="s">
        <v>1547</v>
      </c>
      <c r="C932">
        <v>6</v>
      </c>
      <c r="D932">
        <v>25</v>
      </c>
      <c r="E932">
        <v>99</v>
      </c>
      <c r="F932">
        <v>4</v>
      </c>
      <c r="G932">
        <v>3</v>
      </c>
      <c r="H932">
        <v>2</v>
      </c>
      <c r="I932" t="s">
        <v>112</v>
      </c>
      <c r="J932">
        <v>1401</v>
      </c>
      <c r="K932">
        <v>3703</v>
      </c>
      <c r="L932">
        <v>1</v>
      </c>
      <c r="M932">
        <v>9310</v>
      </c>
      <c r="N932">
        <v>676</v>
      </c>
      <c r="O932">
        <v>1</v>
      </c>
      <c r="P932">
        <v>15</v>
      </c>
      <c r="Q932">
        <v>32</v>
      </c>
      <c r="R932">
        <v>1</v>
      </c>
      <c r="S932">
        <v>4000000</v>
      </c>
      <c r="T932" t="s">
        <v>1545</v>
      </c>
      <c r="U932" t="s">
        <v>1546</v>
      </c>
      <c r="V932" t="s">
        <v>1548</v>
      </c>
      <c r="W932">
        <v>539</v>
      </c>
      <c r="X932">
        <v>1162.5</v>
      </c>
      <c r="Y932">
        <v>1348</v>
      </c>
      <c r="Z932" t="b">
        <v>0</v>
      </c>
    </row>
    <row r="933" spans="1:26" x14ac:dyDescent="0.25">
      <c r="A933">
        <v>932</v>
      </c>
      <c r="B933" t="s">
        <v>1549</v>
      </c>
      <c r="C933">
        <v>4</v>
      </c>
      <c r="D933">
        <v>10</v>
      </c>
      <c r="E933">
        <v>50</v>
      </c>
      <c r="F933">
        <v>4</v>
      </c>
      <c r="G933">
        <v>4</v>
      </c>
      <c r="H933">
        <v>6</v>
      </c>
      <c r="I933" t="s">
        <v>112</v>
      </c>
      <c r="J933">
        <v>221</v>
      </c>
      <c r="K933">
        <v>995</v>
      </c>
      <c r="L933">
        <v>1</v>
      </c>
      <c r="M933">
        <v>9320</v>
      </c>
      <c r="N933">
        <v>677</v>
      </c>
      <c r="O933">
        <v>1</v>
      </c>
      <c r="P933">
        <v>46</v>
      </c>
      <c r="Q933">
        <v>97</v>
      </c>
      <c r="R933">
        <v>1</v>
      </c>
      <c r="S933">
        <v>3000000</v>
      </c>
      <c r="T933" t="s">
        <v>1550</v>
      </c>
      <c r="U933" t="s">
        <v>1551</v>
      </c>
      <c r="W933">
        <v>168</v>
      </c>
      <c r="X933">
        <v>525</v>
      </c>
      <c r="Y933">
        <v>756</v>
      </c>
      <c r="Z933" t="b">
        <v>0</v>
      </c>
    </row>
    <row r="934" spans="1:26" x14ac:dyDescent="0.25">
      <c r="A934">
        <v>933</v>
      </c>
      <c r="B934" t="s">
        <v>1552</v>
      </c>
      <c r="C934">
        <v>5</v>
      </c>
      <c r="D934">
        <v>20</v>
      </c>
      <c r="E934">
        <v>99</v>
      </c>
      <c r="F934">
        <v>4</v>
      </c>
      <c r="G934">
        <v>4</v>
      </c>
      <c r="H934">
        <v>6</v>
      </c>
      <c r="I934" t="s">
        <v>112</v>
      </c>
      <c r="J934">
        <v>796</v>
      </c>
      <c r="K934">
        <v>1990</v>
      </c>
      <c r="L934">
        <v>1</v>
      </c>
      <c r="M934">
        <v>9330</v>
      </c>
      <c r="N934">
        <v>678</v>
      </c>
      <c r="O934">
        <v>1</v>
      </c>
      <c r="P934">
        <v>87</v>
      </c>
      <c r="Q934">
        <v>183</v>
      </c>
      <c r="R934">
        <v>1</v>
      </c>
      <c r="S934">
        <v>3000000</v>
      </c>
      <c r="T934" t="s">
        <v>1550</v>
      </c>
      <c r="U934" t="s">
        <v>1551</v>
      </c>
      <c r="V934" t="s">
        <v>1553</v>
      </c>
      <c r="W934">
        <v>680</v>
      </c>
      <c r="X934">
        <v>937.5</v>
      </c>
      <c r="Y934">
        <v>1700</v>
      </c>
      <c r="Z934" t="b">
        <v>0</v>
      </c>
    </row>
    <row r="935" spans="1:26" x14ac:dyDescent="0.25">
      <c r="A935">
        <v>934</v>
      </c>
      <c r="B935" t="s">
        <v>1554</v>
      </c>
      <c r="C935">
        <v>5</v>
      </c>
      <c r="D935">
        <v>15</v>
      </c>
      <c r="E935">
        <v>50</v>
      </c>
      <c r="F935">
        <v>4</v>
      </c>
      <c r="G935">
        <v>1</v>
      </c>
      <c r="H935">
        <v>1</v>
      </c>
      <c r="I935" t="s">
        <v>112</v>
      </c>
      <c r="J935">
        <v>333</v>
      </c>
      <c r="K935">
        <v>1499</v>
      </c>
      <c r="L935">
        <v>1</v>
      </c>
      <c r="M935">
        <v>9340</v>
      </c>
      <c r="N935">
        <v>679</v>
      </c>
      <c r="O935">
        <v>1</v>
      </c>
      <c r="P935">
        <v>79</v>
      </c>
      <c r="Q935">
        <v>166</v>
      </c>
      <c r="R935">
        <v>1</v>
      </c>
      <c r="S935">
        <v>4000000</v>
      </c>
      <c r="T935" t="s">
        <v>1555</v>
      </c>
      <c r="U935" t="s">
        <v>1556</v>
      </c>
      <c r="W935">
        <v>128</v>
      </c>
      <c r="X935">
        <v>750</v>
      </c>
      <c r="Y935">
        <v>576</v>
      </c>
      <c r="Z935" t="b">
        <v>0</v>
      </c>
    </row>
    <row r="936" spans="1:26" x14ac:dyDescent="0.25">
      <c r="A936">
        <v>935</v>
      </c>
      <c r="B936" t="s">
        <v>1557</v>
      </c>
      <c r="C936">
        <v>6</v>
      </c>
      <c r="D936">
        <v>25</v>
      </c>
      <c r="E936">
        <v>99</v>
      </c>
      <c r="F936">
        <v>4</v>
      </c>
      <c r="G936">
        <v>1</v>
      </c>
      <c r="H936">
        <v>1</v>
      </c>
      <c r="I936" t="s">
        <v>112</v>
      </c>
      <c r="J936">
        <v>1199</v>
      </c>
      <c r="K936">
        <v>2998</v>
      </c>
      <c r="L936">
        <v>1</v>
      </c>
      <c r="M936">
        <v>9350</v>
      </c>
      <c r="N936">
        <v>680</v>
      </c>
      <c r="O936">
        <v>1</v>
      </c>
      <c r="P936">
        <v>149</v>
      </c>
      <c r="Q936">
        <v>313</v>
      </c>
      <c r="R936">
        <v>1</v>
      </c>
      <c r="S936">
        <v>4000000</v>
      </c>
      <c r="T936" t="s">
        <v>1555</v>
      </c>
      <c r="U936" t="s">
        <v>1556</v>
      </c>
      <c r="V936" t="s">
        <v>1558</v>
      </c>
      <c r="W936">
        <v>518</v>
      </c>
      <c r="X936">
        <v>1162.5</v>
      </c>
      <c r="Y936">
        <v>1295</v>
      </c>
      <c r="Z936" t="b">
        <v>0</v>
      </c>
    </row>
    <row r="937" spans="1:26" x14ac:dyDescent="0.25">
      <c r="A937">
        <v>936</v>
      </c>
      <c r="B937" t="s">
        <v>1989</v>
      </c>
      <c r="C937">
        <v>3</v>
      </c>
      <c r="D937">
        <v>5</v>
      </c>
      <c r="E937">
        <v>25</v>
      </c>
      <c r="F937">
        <v>0</v>
      </c>
      <c r="G937" t="s">
        <v>112</v>
      </c>
      <c r="H937">
        <v>6</v>
      </c>
      <c r="I937" t="s">
        <v>112</v>
      </c>
      <c r="J937">
        <v>135</v>
      </c>
      <c r="K937">
        <v>608</v>
      </c>
      <c r="L937">
        <v>1</v>
      </c>
      <c r="M937">
        <v>119</v>
      </c>
      <c r="N937">
        <v>536</v>
      </c>
      <c r="O937">
        <v>1</v>
      </c>
      <c r="P937">
        <v>51</v>
      </c>
      <c r="Q937">
        <v>107</v>
      </c>
      <c r="R937">
        <v>1</v>
      </c>
      <c r="S937">
        <v>1500000</v>
      </c>
      <c r="T937" t="s">
        <v>1990</v>
      </c>
      <c r="U937" t="s">
        <v>112</v>
      </c>
      <c r="W937">
        <v>300</v>
      </c>
      <c r="X937" t="b">
        <v>1</v>
      </c>
    </row>
    <row r="938" spans="1:26" x14ac:dyDescent="0.25">
      <c r="A938">
        <v>937</v>
      </c>
      <c r="B938" t="s">
        <v>1991</v>
      </c>
      <c r="C938">
        <v>4</v>
      </c>
      <c r="D938">
        <v>10</v>
      </c>
      <c r="E938">
        <v>70</v>
      </c>
      <c r="F938">
        <v>0</v>
      </c>
      <c r="G938">
        <v>2</v>
      </c>
      <c r="H938">
        <v>6</v>
      </c>
      <c r="I938" t="s">
        <v>112</v>
      </c>
      <c r="J938">
        <v>486</v>
      </c>
      <c r="K938">
        <v>1215</v>
      </c>
      <c r="L938">
        <v>1</v>
      </c>
      <c r="M938">
        <v>482</v>
      </c>
      <c r="N938">
        <v>1205</v>
      </c>
      <c r="O938">
        <v>1</v>
      </c>
      <c r="P938">
        <v>96</v>
      </c>
      <c r="Q938">
        <v>202</v>
      </c>
      <c r="R938">
        <v>1</v>
      </c>
      <c r="S938">
        <v>3000000</v>
      </c>
      <c r="T938" t="s">
        <v>1990</v>
      </c>
      <c r="U938" t="s">
        <v>727</v>
      </c>
      <c r="V938" t="s">
        <v>1559</v>
      </c>
      <c r="W938">
        <v>525</v>
      </c>
      <c r="X938" t="b">
        <v>1</v>
      </c>
    </row>
    <row r="939" spans="1:26" x14ac:dyDescent="0.25">
      <c r="A939">
        <v>938</v>
      </c>
      <c r="B939" t="s">
        <v>1992</v>
      </c>
      <c r="C939">
        <v>3</v>
      </c>
      <c r="D939">
        <v>5</v>
      </c>
      <c r="E939">
        <v>25</v>
      </c>
      <c r="F939">
        <v>1</v>
      </c>
      <c r="G939" t="s">
        <v>112</v>
      </c>
      <c r="H939">
        <v>2</v>
      </c>
      <c r="I939" t="s">
        <v>112</v>
      </c>
      <c r="J939">
        <v>255</v>
      </c>
      <c r="K939">
        <v>1148</v>
      </c>
      <c r="L939">
        <v>1</v>
      </c>
      <c r="M939">
        <v>81</v>
      </c>
      <c r="N939">
        <v>365</v>
      </c>
      <c r="O939">
        <v>1</v>
      </c>
      <c r="P939">
        <v>26</v>
      </c>
      <c r="Q939">
        <v>55</v>
      </c>
      <c r="R939">
        <v>1</v>
      </c>
      <c r="S939">
        <v>1500000</v>
      </c>
      <c r="T939" t="s">
        <v>1993</v>
      </c>
      <c r="U939" t="s">
        <v>112</v>
      </c>
      <c r="W939">
        <v>300</v>
      </c>
      <c r="X939" t="b">
        <v>1</v>
      </c>
    </row>
    <row r="940" spans="1:26" x14ac:dyDescent="0.25">
      <c r="A940">
        <v>939</v>
      </c>
      <c r="B940" t="s">
        <v>1994</v>
      </c>
      <c r="C940">
        <v>4</v>
      </c>
      <c r="D940">
        <v>10</v>
      </c>
      <c r="E940">
        <v>70</v>
      </c>
      <c r="F940">
        <v>1</v>
      </c>
      <c r="G940">
        <v>0</v>
      </c>
      <c r="H940">
        <v>2</v>
      </c>
      <c r="I940" t="s">
        <v>112</v>
      </c>
      <c r="J940">
        <v>918</v>
      </c>
      <c r="K940">
        <v>2295</v>
      </c>
      <c r="L940">
        <v>1</v>
      </c>
      <c r="M940">
        <v>329</v>
      </c>
      <c r="N940">
        <v>823</v>
      </c>
      <c r="O940">
        <v>1</v>
      </c>
      <c r="P940">
        <v>50</v>
      </c>
      <c r="Q940">
        <v>105</v>
      </c>
      <c r="R940">
        <v>1</v>
      </c>
      <c r="S940">
        <v>3000000</v>
      </c>
      <c r="T940" t="s">
        <v>1993</v>
      </c>
      <c r="U940" t="s">
        <v>732</v>
      </c>
      <c r="V940" t="s">
        <v>1560</v>
      </c>
      <c r="W940">
        <v>525</v>
      </c>
      <c r="X940" t="b">
        <v>1</v>
      </c>
    </row>
    <row r="941" spans="1:26" x14ac:dyDescent="0.25">
      <c r="A941">
        <v>940</v>
      </c>
      <c r="B941" t="s">
        <v>1995</v>
      </c>
      <c r="C941">
        <v>3</v>
      </c>
      <c r="D941">
        <v>5</v>
      </c>
      <c r="E941">
        <v>25</v>
      </c>
      <c r="F941">
        <v>2</v>
      </c>
      <c r="G941" t="s">
        <v>112</v>
      </c>
      <c r="H941">
        <v>1</v>
      </c>
      <c r="I941" t="s">
        <v>112</v>
      </c>
      <c r="J941">
        <v>166</v>
      </c>
      <c r="K941">
        <v>747</v>
      </c>
      <c r="L941">
        <v>1</v>
      </c>
      <c r="M941">
        <v>104</v>
      </c>
      <c r="N941">
        <v>468</v>
      </c>
      <c r="O941">
        <v>1</v>
      </c>
      <c r="P941">
        <v>52</v>
      </c>
      <c r="Q941">
        <v>109</v>
      </c>
      <c r="R941">
        <v>1</v>
      </c>
      <c r="S941">
        <v>1500000</v>
      </c>
      <c r="T941" t="s">
        <v>1996</v>
      </c>
      <c r="U941" t="s">
        <v>112</v>
      </c>
      <c r="W941">
        <v>300</v>
      </c>
      <c r="X941" t="b">
        <v>1</v>
      </c>
    </row>
    <row r="942" spans="1:26" x14ac:dyDescent="0.25">
      <c r="A942">
        <v>941</v>
      </c>
      <c r="B942" t="s">
        <v>1997</v>
      </c>
      <c r="C942">
        <v>4</v>
      </c>
      <c r="D942">
        <v>10</v>
      </c>
      <c r="E942">
        <v>70</v>
      </c>
      <c r="F942">
        <v>2</v>
      </c>
      <c r="G942">
        <v>1</v>
      </c>
      <c r="H942">
        <v>1</v>
      </c>
      <c r="I942" t="s">
        <v>112</v>
      </c>
      <c r="J942">
        <v>598</v>
      </c>
      <c r="K942">
        <v>1495</v>
      </c>
      <c r="L942">
        <v>1</v>
      </c>
      <c r="M942">
        <v>421</v>
      </c>
      <c r="N942">
        <v>1053</v>
      </c>
      <c r="O942">
        <v>1</v>
      </c>
      <c r="P942">
        <v>98</v>
      </c>
      <c r="Q942">
        <v>206</v>
      </c>
      <c r="R942">
        <v>1</v>
      </c>
      <c r="S942">
        <v>3000000</v>
      </c>
      <c r="T942" t="s">
        <v>1996</v>
      </c>
      <c r="U942" t="s">
        <v>736</v>
      </c>
      <c r="V942" t="s">
        <v>542</v>
      </c>
      <c r="W942">
        <v>525</v>
      </c>
      <c r="X942" t="b">
        <v>1</v>
      </c>
    </row>
    <row r="943" spans="1:26" x14ac:dyDescent="0.25">
      <c r="A943">
        <v>942</v>
      </c>
      <c r="B943" t="s">
        <v>1998</v>
      </c>
      <c r="C943">
        <v>3</v>
      </c>
      <c r="D943">
        <v>5</v>
      </c>
      <c r="E943">
        <v>25</v>
      </c>
      <c r="F943">
        <v>3</v>
      </c>
      <c r="G943" t="s">
        <v>112</v>
      </c>
      <c r="H943">
        <v>3</v>
      </c>
      <c r="I943" t="s">
        <v>112</v>
      </c>
      <c r="J943">
        <v>136</v>
      </c>
      <c r="K943">
        <v>612</v>
      </c>
      <c r="L943">
        <v>1</v>
      </c>
      <c r="M943">
        <v>85</v>
      </c>
      <c r="N943">
        <v>383</v>
      </c>
      <c r="O943">
        <v>1</v>
      </c>
      <c r="P943">
        <v>101</v>
      </c>
      <c r="Q943">
        <v>212</v>
      </c>
      <c r="R943">
        <v>1</v>
      </c>
      <c r="S943">
        <v>1500000</v>
      </c>
      <c r="T943" t="s">
        <v>1999</v>
      </c>
      <c r="U943" t="s">
        <v>112</v>
      </c>
      <c r="W943">
        <v>300</v>
      </c>
      <c r="X943" t="b">
        <v>1</v>
      </c>
    </row>
    <row r="944" spans="1:26" x14ac:dyDescent="0.25">
      <c r="A944">
        <v>943</v>
      </c>
      <c r="B944" t="s">
        <v>2000</v>
      </c>
      <c r="C944">
        <v>4</v>
      </c>
      <c r="D944">
        <v>10</v>
      </c>
      <c r="E944">
        <v>70</v>
      </c>
      <c r="F944">
        <v>3</v>
      </c>
      <c r="G944">
        <v>4</v>
      </c>
      <c r="H944">
        <v>3</v>
      </c>
      <c r="I944" t="s">
        <v>112</v>
      </c>
      <c r="J944">
        <v>490</v>
      </c>
      <c r="K944">
        <v>1225</v>
      </c>
      <c r="L944">
        <v>1</v>
      </c>
      <c r="M944">
        <v>345</v>
      </c>
      <c r="N944">
        <v>863</v>
      </c>
      <c r="O944">
        <v>1</v>
      </c>
      <c r="P944">
        <v>191</v>
      </c>
      <c r="Q944">
        <v>401</v>
      </c>
      <c r="R944">
        <v>1</v>
      </c>
      <c r="S944">
        <v>3000000</v>
      </c>
      <c r="T944" t="s">
        <v>1999</v>
      </c>
      <c r="U944" t="s">
        <v>740</v>
      </c>
      <c r="V944" t="s">
        <v>1561</v>
      </c>
      <c r="W944">
        <v>525</v>
      </c>
      <c r="X944" t="b">
        <v>1</v>
      </c>
    </row>
    <row r="945" spans="1:24" x14ac:dyDescent="0.25">
      <c r="A945">
        <v>944</v>
      </c>
      <c r="B945" t="s">
        <v>2001</v>
      </c>
      <c r="C945">
        <v>3</v>
      </c>
      <c r="D945">
        <v>5</v>
      </c>
      <c r="E945">
        <v>25</v>
      </c>
      <c r="F945">
        <v>4</v>
      </c>
      <c r="G945" t="s">
        <v>112</v>
      </c>
      <c r="H945">
        <v>7</v>
      </c>
      <c r="I945" t="s">
        <v>112</v>
      </c>
      <c r="J945">
        <v>185</v>
      </c>
      <c r="K945">
        <v>833</v>
      </c>
      <c r="L945">
        <v>1</v>
      </c>
      <c r="M945">
        <v>111</v>
      </c>
      <c r="N945">
        <v>500</v>
      </c>
      <c r="O945">
        <v>1</v>
      </c>
      <c r="P945">
        <v>44</v>
      </c>
      <c r="Q945">
        <v>92</v>
      </c>
      <c r="R945">
        <v>1</v>
      </c>
      <c r="S945">
        <v>1500000</v>
      </c>
      <c r="T945" t="s">
        <v>2002</v>
      </c>
      <c r="U945" t="s">
        <v>112</v>
      </c>
      <c r="W945">
        <v>300</v>
      </c>
      <c r="X945" t="b">
        <v>1</v>
      </c>
    </row>
    <row r="946" spans="1:24" x14ac:dyDescent="0.25">
      <c r="A946">
        <v>945</v>
      </c>
      <c r="B946" t="s">
        <v>2003</v>
      </c>
      <c r="C946">
        <v>4</v>
      </c>
      <c r="D946">
        <v>10</v>
      </c>
      <c r="E946">
        <v>70</v>
      </c>
      <c r="F946">
        <v>4</v>
      </c>
      <c r="G946">
        <v>3</v>
      </c>
      <c r="H946">
        <v>7</v>
      </c>
      <c r="I946" t="s">
        <v>112</v>
      </c>
      <c r="J946">
        <v>666</v>
      </c>
      <c r="K946">
        <v>1665</v>
      </c>
      <c r="L946">
        <v>1</v>
      </c>
      <c r="M946">
        <v>450</v>
      </c>
      <c r="N946">
        <v>1125</v>
      </c>
      <c r="O946">
        <v>1</v>
      </c>
      <c r="P946">
        <v>83</v>
      </c>
      <c r="Q946">
        <v>174</v>
      </c>
      <c r="R946">
        <v>1</v>
      </c>
      <c r="S946">
        <v>3000000</v>
      </c>
      <c r="T946" t="s">
        <v>2002</v>
      </c>
      <c r="U946" t="s">
        <v>744</v>
      </c>
      <c r="V946" t="s">
        <v>543</v>
      </c>
      <c r="W946">
        <v>525</v>
      </c>
      <c r="X946" t="b">
        <v>1</v>
      </c>
    </row>
    <row r="947" spans="1:24" x14ac:dyDescent="0.25">
      <c r="A947">
        <v>946</v>
      </c>
      <c r="B947" t="s">
        <v>2004</v>
      </c>
      <c r="C947">
        <v>4</v>
      </c>
      <c r="D947">
        <v>15</v>
      </c>
      <c r="E947">
        <v>50</v>
      </c>
      <c r="F947">
        <v>2</v>
      </c>
      <c r="G947" t="s">
        <v>112</v>
      </c>
      <c r="H947">
        <v>5</v>
      </c>
      <c r="I947" t="s">
        <v>112</v>
      </c>
      <c r="J947">
        <v>527</v>
      </c>
      <c r="K947">
        <v>1265</v>
      </c>
      <c r="L947">
        <v>1</v>
      </c>
      <c r="M947">
        <v>360</v>
      </c>
      <c r="N947">
        <v>620</v>
      </c>
      <c r="O947">
        <v>1</v>
      </c>
      <c r="P947">
        <v>156</v>
      </c>
      <c r="Q947">
        <v>278</v>
      </c>
      <c r="R947">
        <v>1</v>
      </c>
      <c r="S947">
        <v>4000000</v>
      </c>
      <c r="T947" t="s">
        <v>2005</v>
      </c>
      <c r="U947" t="s">
        <v>933</v>
      </c>
      <c r="W947">
        <v>712.5</v>
      </c>
      <c r="X947" t="b">
        <v>1</v>
      </c>
    </row>
    <row r="948" spans="1:24" x14ac:dyDescent="0.25">
      <c r="A948">
        <v>947</v>
      </c>
      <c r="B948" t="s">
        <v>2006</v>
      </c>
      <c r="C948">
        <v>5</v>
      </c>
      <c r="D948">
        <v>20</v>
      </c>
      <c r="E948">
        <v>99</v>
      </c>
      <c r="F948">
        <v>2</v>
      </c>
      <c r="G948" t="s">
        <v>112</v>
      </c>
      <c r="H948">
        <v>5</v>
      </c>
      <c r="I948" t="s">
        <v>112</v>
      </c>
      <c r="J948">
        <v>1012</v>
      </c>
      <c r="K948">
        <v>2100</v>
      </c>
      <c r="L948">
        <v>1</v>
      </c>
      <c r="M948">
        <v>558</v>
      </c>
      <c r="N948">
        <v>882</v>
      </c>
      <c r="O948">
        <v>1</v>
      </c>
      <c r="P948">
        <v>225</v>
      </c>
      <c r="Q948">
        <v>343</v>
      </c>
      <c r="R948">
        <v>1</v>
      </c>
      <c r="S948">
        <v>4000000</v>
      </c>
      <c r="T948" t="s">
        <v>2005</v>
      </c>
      <c r="U948" t="s">
        <v>933</v>
      </c>
      <c r="V948" t="s">
        <v>1562</v>
      </c>
      <c r="W948">
        <v>937.5</v>
      </c>
      <c r="X948" t="b">
        <v>1</v>
      </c>
    </row>
    <row r="949" spans="1:24" x14ac:dyDescent="0.25">
      <c r="A949">
        <v>948</v>
      </c>
      <c r="B949" t="s">
        <v>1563</v>
      </c>
      <c r="C949">
        <v>3</v>
      </c>
      <c r="D949">
        <v>5</v>
      </c>
      <c r="E949">
        <v>25</v>
      </c>
      <c r="F949">
        <v>0</v>
      </c>
      <c r="G949" t="s">
        <v>112</v>
      </c>
      <c r="H949">
        <v>6</v>
      </c>
      <c r="I949" t="s">
        <v>112</v>
      </c>
      <c r="J949">
        <v>56</v>
      </c>
      <c r="K949">
        <v>252</v>
      </c>
      <c r="L949">
        <v>1</v>
      </c>
      <c r="M949">
        <v>149</v>
      </c>
      <c r="N949">
        <v>671</v>
      </c>
      <c r="O949">
        <v>1</v>
      </c>
      <c r="P949">
        <v>43</v>
      </c>
      <c r="Q949">
        <v>90</v>
      </c>
      <c r="R949">
        <v>1</v>
      </c>
      <c r="S949">
        <v>1500000</v>
      </c>
      <c r="T949" t="s">
        <v>1564</v>
      </c>
      <c r="U949" t="s">
        <v>112</v>
      </c>
      <c r="W949">
        <v>300</v>
      </c>
      <c r="X949" t="b">
        <v>0</v>
      </c>
    </row>
    <row r="950" spans="1:24" x14ac:dyDescent="0.25">
      <c r="A950">
        <v>949</v>
      </c>
      <c r="B950" t="s">
        <v>1565</v>
      </c>
      <c r="C950">
        <v>4</v>
      </c>
      <c r="D950">
        <v>10</v>
      </c>
      <c r="E950">
        <v>70</v>
      </c>
      <c r="F950">
        <v>0</v>
      </c>
      <c r="G950" t="s">
        <v>112</v>
      </c>
      <c r="H950">
        <v>6</v>
      </c>
      <c r="I950" t="s">
        <v>112</v>
      </c>
      <c r="J950">
        <v>202</v>
      </c>
      <c r="K950">
        <v>505</v>
      </c>
      <c r="L950">
        <v>1</v>
      </c>
      <c r="M950">
        <v>604</v>
      </c>
      <c r="N950">
        <v>1510</v>
      </c>
      <c r="O950">
        <v>1</v>
      </c>
      <c r="P950">
        <v>81</v>
      </c>
      <c r="Q950">
        <v>170</v>
      </c>
      <c r="R950">
        <v>1</v>
      </c>
      <c r="S950">
        <v>3000000</v>
      </c>
      <c r="T950" t="s">
        <v>1564</v>
      </c>
      <c r="U950" t="s">
        <v>1412</v>
      </c>
      <c r="W950">
        <v>525</v>
      </c>
      <c r="X950" t="b">
        <v>0</v>
      </c>
    </row>
    <row r="951" spans="1:24" x14ac:dyDescent="0.25">
      <c r="A951">
        <v>950</v>
      </c>
      <c r="B951" t="s">
        <v>1566</v>
      </c>
      <c r="C951">
        <v>3</v>
      </c>
      <c r="D951">
        <v>5</v>
      </c>
      <c r="E951">
        <v>25</v>
      </c>
      <c r="F951">
        <v>1</v>
      </c>
      <c r="G951" t="s">
        <v>112</v>
      </c>
      <c r="H951">
        <v>1</v>
      </c>
      <c r="I951" t="s">
        <v>112</v>
      </c>
      <c r="J951">
        <v>132</v>
      </c>
      <c r="K951">
        <v>594</v>
      </c>
      <c r="L951">
        <v>1</v>
      </c>
      <c r="M951">
        <v>101</v>
      </c>
      <c r="N951">
        <v>455</v>
      </c>
      <c r="O951">
        <v>1</v>
      </c>
      <c r="P951">
        <v>65</v>
      </c>
      <c r="Q951">
        <v>137</v>
      </c>
      <c r="R951">
        <v>1</v>
      </c>
      <c r="S951">
        <v>1500000</v>
      </c>
      <c r="T951" t="s">
        <v>1567</v>
      </c>
      <c r="U951" t="s">
        <v>112</v>
      </c>
      <c r="W951">
        <v>300</v>
      </c>
      <c r="X951" t="b">
        <v>0</v>
      </c>
    </row>
    <row r="952" spans="1:24" x14ac:dyDescent="0.25">
      <c r="A952">
        <v>951</v>
      </c>
      <c r="B952" t="s">
        <v>1568</v>
      </c>
      <c r="C952">
        <v>4</v>
      </c>
      <c r="D952">
        <v>10</v>
      </c>
      <c r="E952">
        <v>70</v>
      </c>
      <c r="F952">
        <v>1</v>
      </c>
      <c r="G952" t="s">
        <v>112</v>
      </c>
      <c r="H952">
        <v>1</v>
      </c>
      <c r="I952" t="s">
        <v>112</v>
      </c>
      <c r="J952">
        <v>475</v>
      </c>
      <c r="K952">
        <v>1188</v>
      </c>
      <c r="L952">
        <v>1</v>
      </c>
      <c r="M952">
        <v>410</v>
      </c>
      <c r="N952">
        <v>1025</v>
      </c>
      <c r="O952">
        <v>1</v>
      </c>
      <c r="P952">
        <v>123</v>
      </c>
      <c r="Q952">
        <v>258</v>
      </c>
      <c r="R952">
        <v>1</v>
      </c>
      <c r="S952">
        <v>3000000</v>
      </c>
      <c r="T952" t="s">
        <v>1567</v>
      </c>
      <c r="U952" t="s">
        <v>313</v>
      </c>
      <c r="W952">
        <v>525</v>
      </c>
      <c r="X952" t="b">
        <v>0</v>
      </c>
    </row>
    <row r="953" spans="1:24" x14ac:dyDescent="0.25">
      <c r="A953">
        <v>952</v>
      </c>
      <c r="B953" t="s">
        <v>1569</v>
      </c>
      <c r="C953">
        <v>3</v>
      </c>
      <c r="D953">
        <v>5</v>
      </c>
      <c r="E953">
        <v>25</v>
      </c>
      <c r="F953">
        <v>2</v>
      </c>
      <c r="G953" t="s">
        <v>112</v>
      </c>
      <c r="H953">
        <v>1</v>
      </c>
      <c r="I953" t="s">
        <v>112</v>
      </c>
      <c r="J953">
        <v>136</v>
      </c>
      <c r="K953">
        <v>612</v>
      </c>
      <c r="L953">
        <v>1</v>
      </c>
      <c r="M953">
        <v>92</v>
      </c>
      <c r="N953">
        <v>414</v>
      </c>
      <c r="O953">
        <v>1</v>
      </c>
      <c r="P953">
        <v>68</v>
      </c>
      <c r="Q953">
        <v>143</v>
      </c>
      <c r="R953">
        <v>1</v>
      </c>
      <c r="S953">
        <v>1500000</v>
      </c>
      <c r="T953" t="s">
        <v>1570</v>
      </c>
      <c r="U953" t="s">
        <v>112</v>
      </c>
      <c r="W953">
        <v>300</v>
      </c>
      <c r="X953" t="b">
        <v>0</v>
      </c>
    </row>
    <row r="954" spans="1:24" x14ac:dyDescent="0.25">
      <c r="A954">
        <v>953</v>
      </c>
      <c r="B954" t="s">
        <v>1571</v>
      </c>
      <c r="C954">
        <v>4</v>
      </c>
      <c r="D954">
        <v>10</v>
      </c>
      <c r="E954">
        <v>70</v>
      </c>
      <c r="F954">
        <v>2</v>
      </c>
      <c r="G954" t="s">
        <v>112</v>
      </c>
      <c r="H954">
        <v>1</v>
      </c>
      <c r="I954" t="s">
        <v>112</v>
      </c>
      <c r="J954">
        <v>490</v>
      </c>
      <c r="K954">
        <v>1225</v>
      </c>
      <c r="L954">
        <v>1</v>
      </c>
      <c r="M954">
        <v>373</v>
      </c>
      <c r="N954">
        <v>933</v>
      </c>
      <c r="O954">
        <v>1</v>
      </c>
      <c r="P954">
        <v>129</v>
      </c>
      <c r="Q954">
        <v>271</v>
      </c>
      <c r="R954">
        <v>1</v>
      </c>
      <c r="S954">
        <v>3000000</v>
      </c>
      <c r="T954" t="s">
        <v>1570</v>
      </c>
      <c r="U954" t="s">
        <v>802</v>
      </c>
      <c r="W954">
        <v>525</v>
      </c>
      <c r="X954" t="b">
        <v>0</v>
      </c>
    </row>
    <row r="955" spans="1:24" x14ac:dyDescent="0.25">
      <c r="A955">
        <v>954</v>
      </c>
      <c r="B955" t="s">
        <v>1572</v>
      </c>
      <c r="C955">
        <v>3</v>
      </c>
      <c r="D955">
        <v>5</v>
      </c>
      <c r="E955">
        <v>25</v>
      </c>
      <c r="F955">
        <v>3</v>
      </c>
      <c r="G955" t="s">
        <v>112</v>
      </c>
      <c r="H955">
        <v>2</v>
      </c>
      <c r="I955" t="s">
        <v>112</v>
      </c>
      <c r="J955">
        <v>206</v>
      </c>
      <c r="K955">
        <v>927</v>
      </c>
      <c r="L955">
        <v>1</v>
      </c>
      <c r="M955">
        <v>96</v>
      </c>
      <c r="N955">
        <v>432</v>
      </c>
      <c r="O955">
        <v>1</v>
      </c>
      <c r="P955">
        <v>22</v>
      </c>
      <c r="Q955">
        <v>46</v>
      </c>
      <c r="R955">
        <v>1</v>
      </c>
      <c r="S955">
        <v>1500000</v>
      </c>
      <c r="T955" t="s">
        <v>1573</v>
      </c>
      <c r="U955" t="s">
        <v>112</v>
      </c>
      <c r="W955">
        <v>300</v>
      </c>
      <c r="X955" t="b">
        <v>0</v>
      </c>
    </row>
    <row r="956" spans="1:24" x14ac:dyDescent="0.25">
      <c r="A956">
        <v>955</v>
      </c>
      <c r="B956" t="s">
        <v>1574</v>
      </c>
      <c r="C956">
        <v>4</v>
      </c>
      <c r="D956">
        <v>10</v>
      </c>
      <c r="E956">
        <v>70</v>
      </c>
      <c r="F956">
        <v>3</v>
      </c>
      <c r="G956" t="s">
        <v>112</v>
      </c>
      <c r="H956">
        <v>2</v>
      </c>
      <c r="I956" t="s">
        <v>112</v>
      </c>
      <c r="J956">
        <v>742</v>
      </c>
      <c r="K956">
        <v>1855</v>
      </c>
      <c r="L956">
        <v>1</v>
      </c>
      <c r="M956">
        <v>389</v>
      </c>
      <c r="N956">
        <v>973</v>
      </c>
      <c r="O956">
        <v>1</v>
      </c>
      <c r="P956">
        <v>41</v>
      </c>
      <c r="Q956">
        <v>86</v>
      </c>
      <c r="R956">
        <v>1</v>
      </c>
      <c r="S956">
        <v>3000000</v>
      </c>
      <c r="T956" t="s">
        <v>1573</v>
      </c>
      <c r="U956" t="s">
        <v>400</v>
      </c>
      <c r="W956">
        <v>525</v>
      </c>
      <c r="X956" t="b">
        <v>0</v>
      </c>
    </row>
    <row r="957" spans="1:24" x14ac:dyDescent="0.25">
      <c r="A957">
        <v>956</v>
      </c>
      <c r="B957" t="s">
        <v>1575</v>
      </c>
      <c r="C957">
        <v>4</v>
      </c>
      <c r="D957">
        <v>20</v>
      </c>
      <c r="E957">
        <v>50</v>
      </c>
      <c r="F957">
        <v>3</v>
      </c>
      <c r="G957" t="s">
        <v>112</v>
      </c>
      <c r="H957">
        <v>3</v>
      </c>
      <c r="I957" t="s">
        <v>112</v>
      </c>
      <c r="J957">
        <v>284</v>
      </c>
      <c r="K957">
        <v>1278</v>
      </c>
      <c r="L957">
        <v>1</v>
      </c>
      <c r="M957">
        <v>63</v>
      </c>
      <c r="N957">
        <v>284</v>
      </c>
      <c r="O957">
        <v>1</v>
      </c>
      <c r="P957">
        <v>125</v>
      </c>
      <c r="Q957">
        <v>263</v>
      </c>
      <c r="R957">
        <v>1</v>
      </c>
      <c r="S957">
        <v>1500000</v>
      </c>
      <c r="T957" t="s">
        <v>1576</v>
      </c>
      <c r="U957" t="s">
        <v>1577</v>
      </c>
      <c r="W957">
        <v>900</v>
      </c>
      <c r="X957" t="b">
        <v>0</v>
      </c>
    </row>
    <row r="958" spans="1:24" x14ac:dyDescent="0.25">
      <c r="A958">
        <v>957</v>
      </c>
      <c r="B958" t="s">
        <v>1578</v>
      </c>
      <c r="C958">
        <v>5</v>
      </c>
      <c r="D958">
        <v>30</v>
      </c>
      <c r="E958">
        <v>99</v>
      </c>
      <c r="F958">
        <v>3</v>
      </c>
      <c r="G958" t="s">
        <v>112</v>
      </c>
      <c r="H958">
        <v>3</v>
      </c>
      <c r="I958" t="s">
        <v>112</v>
      </c>
      <c r="J958">
        <v>1022</v>
      </c>
      <c r="K958">
        <v>2555</v>
      </c>
      <c r="L958">
        <v>1</v>
      </c>
      <c r="M958">
        <v>256</v>
      </c>
      <c r="N958">
        <v>640</v>
      </c>
      <c r="O958">
        <v>1</v>
      </c>
      <c r="P958">
        <v>237</v>
      </c>
      <c r="Q958">
        <v>498</v>
      </c>
      <c r="R958">
        <v>1</v>
      </c>
      <c r="S958">
        <v>4000000</v>
      </c>
      <c r="T958" t="s">
        <v>1576</v>
      </c>
      <c r="U958" t="s">
        <v>1577</v>
      </c>
      <c r="W958">
        <v>1312.5</v>
      </c>
      <c r="X958" t="b">
        <v>0</v>
      </c>
    </row>
    <row r="959" spans="1:24" x14ac:dyDescent="0.25">
      <c r="A959">
        <v>958</v>
      </c>
      <c r="B959" t="s">
        <v>1579</v>
      </c>
      <c r="C959">
        <v>3</v>
      </c>
      <c r="D959">
        <v>5</v>
      </c>
      <c r="E959">
        <v>25</v>
      </c>
      <c r="F959">
        <v>4</v>
      </c>
      <c r="G959" t="s">
        <v>112</v>
      </c>
      <c r="H959">
        <v>6</v>
      </c>
      <c r="I959" t="s">
        <v>112</v>
      </c>
      <c r="J959">
        <v>98</v>
      </c>
      <c r="K959">
        <v>441</v>
      </c>
      <c r="L959">
        <v>1</v>
      </c>
      <c r="M959">
        <v>154</v>
      </c>
      <c r="N959">
        <v>693</v>
      </c>
      <c r="O959">
        <v>1</v>
      </c>
      <c r="P959">
        <v>0</v>
      </c>
      <c r="Q959">
        <v>0</v>
      </c>
      <c r="R959">
        <v>1</v>
      </c>
      <c r="S959">
        <v>1500000</v>
      </c>
      <c r="T959" t="s">
        <v>1580</v>
      </c>
      <c r="U959" t="s">
        <v>112</v>
      </c>
      <c r="W959">
        <v>300</v>
      </c>
      <c r="X959" t="b">
        <v>0</v>
      </c>
    </row>
    <row r="960" spans="1:24" x14ac:dyDescent="0.25">
      <c r="A960">
        <v>959</v>
      </c>
      <c r="B960" t="s">
        <v>1581</v>
      </c>
      <c r="C960">
        <v>4</v>
      </c>
      <c r="D960">
        <v>10</v>
      </c>
      <c r="E960">
        <v>70</v>
      </c>
      <c r="F960">
        <v>4</v>
      </c>
      <c r="G960" t="s">
        <v>112</v>
      </c>
      <c r="H960">
        <v>6</v>
      </c>
      <c r="I960" t="s">
        <v>112</v>
      </c>
      <c r="J960">
        <v>353</v>
      </c>
      <c r="K960">
        <v>883</v>
      </c>
      <c r="L960">
        <v>1</v>
      </c>
      <c r="M960">
        <v>624</v>
      </c>
      <c r="N960">
        <v>1560</v>
      </c>
      <c r="O960">
        <v>1</v>
      </c>
      <c r="P960">
        <v>0</v>
      </c>
      <c r="Q960">
        <v>0</v>
      </c>
      <c r="R960">
        <v>1</v>
      </c>
      <c r="S960">
        <v>3000000</v>
      </c>
      <c r="T960" t="s">
        <v>1580</v>
      </c>
      <c r="U960" t="s">
        <v>810</v>
      </c>
      <c r="W960">
        <v>525</v>
      </c>
      <c r="X960" t="b">
        <v>0</v>
      </c>
    </row>
    <row r="961" spans="1:24" x14ac:dyDescent="0.25">
      <c r="A961">
        <v>960</v>
      </c>
      <c r="B961" t="s">
        <v>1582</v>
      </c>
      <c r="C961">
        <v>4</v>
      </c>
      <c r="D961">
        <v>15</v>
      </c>
      <c r="E961">
        <v>50</v>
      </c>
      <c r="F961">
        <v>0</v>
      </c>
      <c r="G961">
        <v>1</v>
      </c>
      <c r="H961">
        <v>2</v>
      </c>
      <c r="I961" t="s">
        <v>112</v>
      </c>
      <c r="J961">
        <v>368</v>
      </c>
      <c r="K961">
        <v>1656</v>
      </c>
      <c r="L961">
        <v>1</v>
      </c>
      <c r="M961">
        <v>102</v>
      </c>
      <c r="N961">
        <v>459</v>
      </c>
      <c r="O961">
        <v>1</v>
      </c>
      <c r="P961">
        <v>9</v>
      </c>
      <c r="Q961">
        <v>19</v>
      </c>
      <c r="R961">
        <v>1</v>
      </c>
      <c r="S961">
        <v>3000000</v>
      </c>
      <c r="T961" t="s">
        <v>1583</v>
      </c>
      <c r="U961" t="s">
        <v>1584</v>
      </c>
      <c r="W961">
        <v>712.5</v>
      </c>
      <c r="X961" t="b">
        <v>0</v>
      </c>
    </row>
    <row r="962" spans="1:24" x14ac:dyDescent="0.25">
      <c r="A962">
        <v>961</v>
      </c>
      <c r="B962" t="s">
        <v>1585</v>
      </c>
      <c r="C962">
        <v>5</v>
      </c>
      <c r="D962">
        <v>25</v>
      </c>
      <c r="E962">
        <v>99</v>
      </c>
      <c r="F962">
        <v>0</v>
      </c>
      <c r="G962">
        <v>1</v>
      </c>
      <c r="H962">
        <v>2</v>
      </c>
      <c r="I962" t="s">
        <v>112</v>
      </c>
      <c r="J962">
        <v>1325</v>
      </c>
      <c r="K962">
        <v>3313</v>
      </c>
      <c r="L962">
        <v>1</v>
      </c>
      <c r="M962">
        <v>413</v>
      </c>
      <c r="N962">
        <v>1033</v>
      </c>
      <c r="O962">
        <v>1</v>
      </c>
      <c r="P962">
        <v>17</v>
      </c>
      <c r="Q962">
        <v>36</v>
      </c>
      <c r="R962">
        <v>1</v>
      </c>
      <c r="S962">
        <v>3000000</v>
      </c>
      <c r="T962" t="s">
        <v>1583</v>
      </c>
      <c r="U962" t="s">
        <v>1584</v>
      </c>
      <c r="W962">
        <v>1125</v>
      </c>
      <c r="X962" t="b">
        <v>0</v>
      </c>
    </row>
    <row r="963" spans="1:24" x14ac:dyDescent="0.25">
      <c r="A963">
        <v>962</v>
      </c>
      <c r="B963" t="s">
        <v>2007</v>
      </c>
      <c r="C963">
        <v>3</v>
      </c>
      <c r="D963">
        <v>3</v>
      </c>
      <c r="E963">
        <v>25</v>
      </c>
      <c r="F963">
        <v>0</v>
      </c>
      <c r="G963" t="s">
        <v>112</v>
      </c>
      <c r="H963">
        <v>4</v>
      </c>
      <c r="I963" t="s">
        <v>112</v>
      </c>
      <c r="J963">
        <v>119</v>
      </c>
      <c r="K963">
        <v>536</v>
      </c>
      <c r="L963">
        <v>1</v>
      </c>
      <c r="M963">
        <v>57</v>
      </c>
      <c r="N963">
        <v>257</v>
      </c>
      <c r="O963">
        <v>1</v>
      </c>
      <c r="P963">
        <v>14</v>
      </c>
      <c r="Q963">
        <v>29</v>
      </c>
      <c r="R963">
        <v>1</v>
      </c>
      <c r="S963">
        <v>1500000</v>
      </c>
      <c r="T963" t="s">
        <v>2008</v>
      </c>
      <c r="U963" t="s">
        <v>112</v>
      </c>
      <c r="W963">
        <v>225</v>
      </c>
      <c r="X963" t="b">
        <v>1</v>
      </c>
    </row>
    <row r="964" spans="1:24" x14ac:dyDescent="0.25">
      <c r="A964">
        <v>963</v>
      </c>
      <c r="B964" t="s">
        <v>2009</v>
      </c>
      <c r="C964">
        <v>4</v>
      </c>
      <c r="D964">
        <v>6</v>
      </c>
      <c r="E964">
        <v>50</v>
      </c>
      <c r="F964">
        <v>0</v>
      </c>
      <c r="G964" t="s">
        <v>112</v>
      </c>
      <c r="H964">
        <v>4</v>
      </c>
      <c r="I964" t="s">
        <v>112</v>
      </c>
      <c r="J964">
        <v>429</v>
      </c>
      <c r="K964">
        <v>1073</v>
      </c>
      <c r="L964">
        <v>1</v>
      </c>
      <c r="M964">
        <v>231</v>
      </c>
      <c r="N964">
        <v>578</v>
      </c>
      <c r="O964">
        <v>1</v>
      </c>
      <c r="P964">
        <v>26</v>
      </c>
      <c r="Q964">
        <v>55</v>
      </c>
      <c r="R964">
        <v>1</v>
      </c>
      <c r="S964">
        <v>1500000</v>
      </c>
      <c r="T964" t="s">
        <v>2008</v>
      </c>
      <c r="U964" t="s">
        <v>441</v>
      </c>
      <c r="W964">
        <v>375</v>
      </c>
      <c r="X964" t="b">
        <v>1</v>
      </c>
    </row>
    <row r="965" spans="1:24" x14ac:dyDescent="0.25">
      <c r="A965">
        <v>964</v>
      </c>
      <c r="B965" t="s">
        <v>2010</v>
      </c>
      <c r="C965">
        <v>5</v>
      </c>
      <c r="D965">
        <v>10</v>
      </c>
      <c r="E965">
        <v>99</v>
      </c>
      <c r="F965">
        <v>0</v>
      </c>
      <c r="G965" t="s">
        <v>112</v>
      </c>
      <c r="H965">
        <v>4</v>
      </c>
      <c r="I965" t="s">
        <v>112</v>
      </c>
      <c r="J965">
        <v>858</v>
      </c>
      <c r="K965">
        <v>2359</v>
      </c>
      <c r="L965">
        <v>1</v>
      </c>
      <c r="M965">
        <v>520</v>
      </c>
      <c r="N965">
        <v>1430</v>
      </c>
      <c r="O965">
        <v>1</v>
      </c>
      <c r="P965">
        <v>50</v>
      </c>
      <c r="Q965">
        <v>115</v>
      </c>
      <c r="R965">
        <v>1</v>
      </c>
      <c r="S965">
        <v>3000000</v>
      </c>
      <c r="T965" t="s">
        <v>2011</v>
      </c>
      <c r="U965" t="s">
        <v>441</v>
      </c>
      <c r="V965" t="s">
        <v>350</v>
      </c>
      <c r="W965">
        <v>562.5</v>
      </c>
      <c r="X965" t="b">
        <v>1</v>
      </c>
    </row>
    <row r="966" spans="1:24" x14ac:dyDescent="0.25">
      <c r="A966">
        <v>965</v>
      </c>
      <c r="B966" t="s">
        <v>2012</v>
      </c>
      <c r="C966">
        <v>3</v>
      </c>
      <c r="D966">
        <v>3</v>
      </c>
      <c r="E966">
        <v>25</v>
      </c>
      <c r="F966">
        <v>1</v>
      </c>
      <c r="G966" t="s">
        <v>112</v>
      </c>
      <c r="H966">
        <v>4</v>
      </c>
      <c r="I966" t="s">
        <v>112</v>
      </c>
      <c r="J966">
        <v>134</v>
      </c>
      <c r="K966">
        <v>603</v>
      </c>
      <c r="L966">
        <v>1</v>
      </c>
      <c r="M966">
        <v>48</v>
      </c>
      <c r="N966">
        <v>216</v>
      </c>
      <c r="O966">
        <v>1</v>
      </c>
      <c r="P966">
        <v>20</v>
      </c>
      <c r="Q966">
        <v>42</v>
      </c>
      <c r="R966">
        <v>1</v>
      </c>
      <c r="S966">
        <v>1500000</v>
      </c>
      <c r="T966" t="s">
        <v>2013</v>
      </c>
      <c r="U966" t="s">
        <v>112</v>
      </c>
      <c r="W966">
        <v>225</v>
      </c>
      <c r="X966" t="b">
        <v>1</v>
      </c>
    </row>
    <row r="967" spans="1:24" x14ac:dyDescent="0.25">
      <c r="A967">
        <v>966</v>
      </c>
      <c r="B967" t="s">
        <v>2014</v>
      </c>
      <c r="C967">
        <v>4</v>
      </c>
      <c r="D967">
        <v>6</v>
      </c>
      <c r="E967">
        <v>50</v>
      </c>
      <c r="F967">
        <v>1</v>
      </c>
      <c r="G967" t="s">
        <v>112</v>
      </c>
      <c r="H967">
        <v>4</v>
      </c>
      <c r="I967" t="s">
        <v>112</v>
      </c>
      <c r="J967">
        <v>482</v>
      </c>
      <c r="K967">
        <v>1205</v>
      </c>
      <c r="L967">
        <v>1</v>
      </c>
      <c r="M967">
        <v>194</v>
      </c>
      <c r="N967">
        <v>485</v>
      </c>
      <c r="O967">
        <v>1</v>
      </c>
      <c r="P967">
        <v>38</v>
      </c>
      <c r="Q967">
        <v>80</v>
      </c>
      <c r="R967">
        <v>1</v>
      </c>
      <c r="S967">
        <v>1500000</v>
      </c>
      <c r="T967" t="s">
        <v>2015</v>
      </c>
      <c r="U967" t="s">
        <v>444</v>
      </c>
      <c r="W967">
        <v>375</v>
      </c>
      <c r="X967" t="b">
        <v>1</v>
      </c>
    </row>
    <row r="968" spans="1:24" x14ac:dyDescent="0.25">
      <c r="A968">
        <v>967</v>
      </c>
      <c r="B968" t="s">
        <v>2016</v>
      </c>
      <c r="C968">
        <v>5</v>
      </c>
      <c r="D968">
        <v>10</v>
      </c>
      <c r="E968">
        <v>99</v>
      </c>
      <c r="F968">
        <v>1</v>
      </c>
      <c r="G968" t="s">
        <v>112</v>
      </c>
      <c r="H968">
        <v>4</v>
      </c>
      <c r="I968" t="s">
        <v>112</v>
      </c>
      <c r="J968">
        <v>964</v>
      </c>
      <c r="K968">
        <v>2651</v>
      </c>
      <c r="L968">
        <v>1</v>
      </c>
      <c r="M968">
        <v>437</v>
      </c>
      <c r="N968">
        <v>1202</v>
      </c>
      <c r="O968">
        <v>1</v>
      </c>
      <c r="P968">
        <v>72</v>
      </c>
      <c r="Q968">
        <v>166</v>
      </c>
      <c r="R968">
        <v>1</v>
      </c>
      <c r="S968">
        <v>3000000</v>
      </c>
      <c r="T968" t="s">
        <v>2017</v>
      </c>
      <c r="U968" t="s">
        <v>444</v>
      </c>
      <c r="V968" t="s">
        <v>352</v>
      </c>
      <c r="W968">
        <v>562.5</v>
      </c>
      <c r="X968" t="b">
        <v>1</v>
      </c>
    </row>
    <row r="969" spans="1:24" x14ac:dyDescent="0.25">
      <c r="A969">
        <v>968</v>
      </c>
      <c r="B969" t="s">
        <v>2018</v>
      </c>
      <c r="C969">
        <v>3</v>
      </c>
      <c r="D969">
        <v>3</v>
      </c>
      <c r="E969">
        <v>25</v>
      </c>
      <c r="F969">
        <v>2</v>
      </c>
      <c r="G969" t="s">
        <v>112</v>
      </c>
      <c r="H969">
        <v>4</v>
      </c>
      <c r="I969" t="s">
        <v>112</v>
      </c>
      <c r="J969">
        <v>152</v>
      </c>
      <c r="K969">
        <v>684</v>
      </c>
      <c r="L969">
        <v>1</v>
      </c>
      <c r="M969">
        <v>43</v>
      </c>
      <c r="N969">
        <v>194</v>
      </c>
      <c r="O969">
        <v>1</v>
      </c>
      <c r="P969">
        <v>15</v>
      </c>
      <c r="Q969">
        <v>32</v>
      </c>
      <c r="R969">
        <v>1</v>
      </c>
      <c r="S969">
        <v>1500000</v>
      </c>
      <c r="T969" t="s">
        <v>2019</v>
      </c>
      <c r="U969" t="s">
        <v>112</v>
      </c>
      <c r="W969">
        <v>225</v>
      </c>
      <c r="X969" t="b">
        <v>1</v>
      </c>
    </row>
    <row r="970" spans="1:24" x14ac:dyDescent="0.25">
      <c r="A970">
        <v>969</v>
      </c>
      <c r="B970" t="s">
        <v>2020</v>
      </c>
      <c r="C970">
        <v>4</v>
      </c>
      <c r="D970">
        <v>6</v>
      </c>
      <c r="E970">
        <v>50</v>
      </c>
      <c r="F970">
        <v>2</v>
      </c>
      <c r="G970" t="s">
        <v>112</v>
      </c>
      <c r="H970">
        <v>4</v>
      </c>
      <c r="I970" t="s">
        <v>112</v>
      </c>
      <c r="J970">
        <v>547</v>
      </c>
      <c r="K970">
        <v>1368</v>
      </c>
      <c r="L970">
        <v>1</v>
      </c>
      <c r="M970">
        <v>175</v>
      </c>
      <c r="N970">
        <v>438</v>
      </c>
      <c r="O970">
        <v>1</v>
      </c>
      <c r="P970">
        <v>29</v>
      </c>
      <c r="Q970">
        <v>61</v>
      </c>
      <c r="R970">
        <v>1</v>
      </c>
      <c r="S970">
        <v>1500000</v>
      </c>
      <c r="T970" t="s">
        <v>2021</v>
      </c>
      <c r="U970" t="s">
        <v>447</v>
      </c>
      <c r="W970">
        <v>375</v>
      </c>
      <c r="X970" t="b">
        <v>1</v>
      </c>
    </row>
    <row r="971" spans="1:24" x14ac:dyDescent="0.25">
      <c r="A971">
        <v>970</v>
      </c>
      <c r="B971" t="s">
        <v>2022</v>
      </c>
      <c r="C971">
        <v>5</v>
      </c>
      <c r="D971">
        <v>10</v>
      </c>
      <c r="E971">
        <v>99</v>
      </c>
      <c r="F971">
        <v>2</v>
      </c>
      <c r="G971" t="s">
        <v>112</v>
      </c>
      <c r="H971">
        <v>4</v>
      </c>
      <c r="I971" t="s">
        <v>112</v>
      </c>
      <c r="J971">
        <v>1094</v>
      </c>
      <c r="K971">
        <v>3008</v>
      </c>
      <c r="L971">
        <v>1</v>
      </c>
      <c r="M971">
        <v>394</v>
      </c>
      <c r="N971">
        <v>1083</v>
      </c>
      <c r="O971">
        <v>1</v>
      </c>
      <c r="P971">
        <v>55</v>
      </c>
      <c r="Q971">
        <v>127</v>
      </c>
      <c r="R971">
        <v>1</v>
      </c>
      <c r="S971">
        <v>3000000</v>
      </c>
      <c r="T971" t="s">
        <v>2023</v>
      </c>
      <c r="U971" t="s">
        <v>447</v>
      </c>
      <c r="V971" t="s">
        <v>354</v>
      </c>
      <c r="W971">
        <v>562.5</v>
      </c>
      <c r="X971" t="b">
        <v>1</v>
      </c>
    </row>
    <row r="972" spans="1:24" x14ac:dyDescent="0.25">
      <c r="A972">
        <v>971</v>
      </c>
      <c r="B972" t="s">
        <v>2024</v>
      </c>
      <c r="C972">
        <v>6</v>
      </c>
      <c r="D972">
        <v>50</v>
      </c>
      <c r="E972">
        <v>99</v>
      </c>
      <c r="F972">
        <v>2</v>
      </c>
      <c r="G972" t="s">
        <v>112</v>
      </c>
      <c r="H972">
        <v>4</v>
      </c>
      <c r="I972">
        <v>5</v>
      </c>
      <c r="J972">
        <v>321</v>
      </c>
      <c r="K972">
        <v>2137</v>
      </c>
      <c r="L972">
        <v>1</v>
      </c>
      <c r="M972">
        <v>440</v>
      </c>
      <c r="N972">
        <v>2004</v>
      </c>
      <c r="O972">
        <v>1</v>
      </c>
      <c r="P972">
        <v>125</v>
      </c>
      <c r="Q972">
        <v>250</v>
      </c>
      <c r="R972">
        <v>1</v>
      </c>
      <c r="S972">
        <v>4000000</v>
      </c>
      <c r="T972" t="s">
        <v>2025</v>
      </c>
      <c r="U972" t="s">
        <v>1587</v>
      </c>
      <c r="V972" t="s">
        <v>1586</v>
      </c>
      <c r="W972">
        <v>2100</v>
      </c>
      <c r="X972" t="b">
        <v>1</v>
      </c>
    </row>
    <row r="973" spans="1:24" x14ac:dyDescent="0.25">
      <c r="A973">
        <v>972</v>
      </c>
      <c r="B973" t="s">
        <v>1588</v>
      </c>
      <c r="C973">
        <v>6</v>
      </c>
      <c r="D973">
        <v>30</v>
      </c>
      <c r="E973">
        <v>99</v>
      </c>
      <c r="F973">
        <v>1</v>
      </c>
      <c r="G973" t="s">
        <v>112</v>
      </c>
      <c r="H973">
        <v>3</v>
      </c>
      <c r="I973" t="s">
        <v>112</v>
      </c>
      <c r="J973">
        <v>1593</v>
      </c>
      <c r="K973">
        <v>2308</v>
      </c>
      <c r="L973">
        <v>1</v>
      </c>
      <c r="M973">
        <v>996</v>
      </c>
      <c r="N973">
        <v>1189</v>
      </c>
      <c r="O973">
        <v>1</v>
      </c>
      <c r="P973">
        <v>438</v>
      </c>
      <c r="Q973">
        <v>556</v>
      </c>
      <c r="R973">
        <v>1</v>
      </c>
      <c r="S973">
        <v>4000000</v>
      </c>
      <c r="T973" t="s">
        <v>470</v>
      </c>
      <c r="U973" t="s">
        <v>396</v>
      </c>
      <c r="V973" t="s">
        <v>964</v>
      </c>
      <c r="W973">
        <v>1350</v>
      </c>
      <c r="X973" t="b">
        <v>0</v>
      </c>
    </row>
    <row r="974" spans="1:24" x14ac:dyDescent="0.25">
      <c r="A974">
        <v>973</v>
      </c>
      <c r="B974" t="s">
        <v>1589</v>
      </c>
      <c r="C974">
        <v>7</v>
      </c>
      <c r="D974">
        <v>35</v>
      </c>
      <c r="E974">
        <v>99</v>
      </c>
      <c r="F974">
        <v>1</v>
      </c>
      <c r="G974">
        <v>3</v>
      </c>
      <c r="H974">
        <v>3</v>
      </c>
      <c r="I974" t="s">
        <v>112</v>
      </c>
      <c r="J974">
        <v>1593</v>
      </c>
      <c r="K974">
        <v>2308</v>
      </c>
      <c r="L974">
        <v>1</v>
      </c>
      <c r="M974">
        <v>996</v>
      </c>
      <c r="N974">
        <v>1189</v>
      </c>
      <c r="O974">
        <v>1</v>
      </c>
      <c r="P974">
        <v>438</v>
      </c>
      <c r="Q974">
        <v>656</v>
      </c>
      <c r="R974">
        <v>1</v>
      </c>
      <c r="S974">
        <v>4000000</v>
      </c>
      <c r="T974" t="s">
        <v>1268</v>
      </c>
      <c r="U974" t="s">
        <v>396</v>
      </c>
      <c r="V974" t="s">
        <v>964</v>
      </c>
      <c r="W974">
        <v>1575</v>
      </c>
      <c r="X974" t="b">
        <v>0</v>
      </c>
    </row>
    <row r="975" spans="1:24" x14ac:dyDescent="0.25">
      <c r="A975">
        <v>974</v>
      </c>
      <c r="B975" t="s">
        <v>1590</v>
      </c>
      <c r="C975">
        <v>6</v>
      </c>
      <c r="D975">
        <v>40</v>
      </c>
      <c r="E975">
        <v>99</v>
      </c>
      <c r="F975">
        <v>0</v>
      </c>
      <c r="G975">
        <v>1</v>
      </c>
      <c r="H975">
        <v>4</v>
      </c>
      <c r="I975" t="s">
        <v>112</v>
      </c>
      <c r="J975">
        <v>1451</v>
      </c>
      <c r="K975">
        <v>3128</v>
      </c>
      <c r="L975">
        <v>1</v>
      </c>
      <c r="M975">
        <v>734</v>
      </c>
      <c r="N975">
        <v>1541</v>
      </c>
      <c r="O975">
        <v>1</v>
      </c>
      <c r="P975">
        <v>72</v>
      </c>
      <c r="Q975">
        <v>188</v>
      </c>
      <c r="R975">
        <v>1</v>
      </c>
      <c r="S975">
        <v>4000000</v>
      </c>
      <c r="T975" t="s">
        <v>1591</v>
      </c>
      <c r="U975" t="s">
        <v>1592</v>
      </c>
      <c r="V975" t="s">
        <v>350</v>
      </c>
      <c r="W975">
        <v>1725</v>
      </c>
      <c r="X975" t="b">
        <v>0</v>
      </c>
    </row>
    <row r="976" spans="1:24" x14ac:dyDescent="0.25">
      <c r="A976">
        <v>975</v>
      </c>
      <c r="B976" t="s">
        <v>1593</v>
      </c>
      <c r="C976">
        <v>6</v>
      </c>
      <c r="D976">
        <v>40</v>
      </c>
      <c r="E976">
        <v>99</v>
      </c>
      <c r="F976">
        <v>1</v>
      </c>
      <c r="G976">
        <v>1</v>
      </c>
      <c r="H976">
        <v>4</v>
      </c>
      <c r="I976" t="s">
        <v>112</v>
      </c>
      <c r="J976">
        <v>1432</v>
      </c>
      <c r="K976">
        <v>3080</v>
      </c>
      <c r="L976">
        <v>1</v>
      </c>
      <c r="M976">
        <v>688</v>
      </c>
      <c r="N976">
        <v>1445</v>
      </c>
      <c r="O976">
        <v>1</v>
      </c>
      <c r="P976">
        <v>94</v>
      </c>
      <c r="Q976">
        <v>260</v>
      </c>
      <c r="R976">
        <v>1</v>
      </c>
      <c r="S976">
        <v>4000000</v>
      </c>
      <c r="T976" t="s">
        <v>1594</v>
      </c>
      <c r="U976" t="s">
        <v>1595</v>
      </c>
      <c r="V976" t="s">
        <v>352</v>
      </c>
      <c r="W976">
        <v>1725</v>
      </c>
      <c r="X976" t="b">
        <v>0</v>
      </c>
    </row>
    <row r="977" spans="1:24" x14ac:dyDescent="0.25">
      <c r="A977">
        <v>976</v>
      </c>
      <c r="B977" t="s">
        <v>1596</v>
      </c>
      <c r="C977">
        <v>6</v>
      </c>
      <c r="D977">
        <v>40</v>
      </c>
      <c r="E977">
        <v>99</v>
      </c>
      <c r="F977">
        <v>2</v>
      </c>
      <c r="G977">
        <v>1</v>
      </c>
      <c r="H977">
        <v>4</v>
      </c>
      <c r="I977" t="s">
        <v>112</v>
      </c>
      <c r="J977">
        <v>1455</v>
      </c>
      <c r="K977">
        <v>3138</v>
      </c>
      <c r="L977">
        <v>1</v>
      </c>
      <c r="M977">
        <v>721</v>
      </c>
      <c r="N977">
        <v>1514</v>
      </c>
      <c r="O977">
        <v>1</v>
      </c>
      <c r="P977">
        <v>75</v>
      </c>
      <c r="Q977">
        <v>198</v>
      </c>
      <c r="R977">
        <v>1</v>
      </c>
      <c r="S977">
        <v>4000000</v>
      </c>
      <c r="T977" t="s">
        <v>1597</v>
      </c>
      <c r="U977" t="s">
        <v>1598</v>
      </c>
      <c r="V977" t="s">
        <v>354</v>
      </c>
      <c r="W977">
        <v>1725</v>
      </c>
      <c r="X977" t="b">
        <v>0</v>
      </c>
    </row>
    <row r="978" spans="1:24" x14ac:dyDescent="0.25">
      <c r="A978">
        <v>977</v>
      </c>
      <c r="B978" t="s">
        <v>2303</v>
      </c>
      <c r="C978">
        <v>6</v>
      </c>
      <c r="D978">
        <v>40</v>
      </c>
      <c r="E978">
        <v>99</v>
      </c>
      <c r="F978">
        <v>3</v>
      </c>
      <c r="G978">
        <v>1</v>
      </c>
      <c r="H978">
        <v>4</v>
      </c>
      <c r="I978" t="s">
        <v>112</v>
      </c>
      <c r="J978">
        <v>1425</v>
      </c>
      <c r="K978">
        <v>3063</v>
      </c>
      <c r="L978">
        <v>1</v>
      </c>
      <c r="M978">
        <v>684</v>
      </c>
      <c r="N978">
        <v>1436</v>
      </c>
      <c r="O978">
        <v>1</v>
      </c>
      <c r="P978">
        <v>97</v>
      </c>
      <c r="Q978">
        <v>270</v>
      </c>
      <c r="R978">
        <v>1</v>
      </c>
      <c r="S978">
        <v>4000000</v>
      </c>
      <c r="T978" t="s">
        <v>1599</v>
      </c>
      <c r="U978" t="s">
        <v>1600</v>
      </c>
      <c r="V978" t="s">
        <v>356</v>
      </c>
      <c r="W978">
        <v>1725</v>
      </c>
      <c r="X978" t="b">
        <v>0</v>
      </c>
    </row>
    <row r="979" spans="1:24" x14ac:dyDescent="0.25">
      <c r="A979">
        <v>978</v>
      </c>
      <c r="B979" t="s">
        <v>2304</v>
      </c>
      <c r="C979">
        <v>6</v>
      </c>
      <c r="D979">
        <v>40</v>
      </c>
      <c r="E979">
        <v>99</v>
      </c>
      <c r="F979">
        <v>4</v>
      </c>
      <c r="G979">
        <v>1</v>
      </c>
      <c r="H979">
        <v>4</v>
      </c>
      <c r="I979" t="s">
        <v>112</v>
      </c>
      <c r="J979">
        <v>1421</v>
      </c>
      <c r="K979">
        <v>3053</v>
      </c>
      <c r="L979">
        <v>1</v>
      </c>
      <c r="M979">
        <v>749</v>
      </c>
      <c r="N979">
        <v>1573</v>
      </c>
      <c r="O979">
        <v>1</v>
      </c>
      <c r="P979">
        <v>73</v>
      </c>
      <c r="Q979">
        <v>191</v>
      </c>
      <c r="R979">
        <v>1</v>
      </c>
      <c r="S979">
        <v>4000000</v>
      </c>
      <c r="T979" t="s">
        <v>1601</v>
      </c>
      <c r="U979" t="s">
        <v>1602</v>
      </c>
      <c r="V979" t="s">
        <v>358</v>
      </c>
      <c r="W979">
        <v>1725</v>
      </c>
      <c r="X979" t="b">
        <v>0</v>
      </c>
    </row>
    <row r="980" spans="1:24" x14ac:dyDescent="0.25">
      <c r="A980">
        <v>979</v>
      </c>
      <c r="B980" t="s">
        <v>1603</v>
      </c>
      <c r="C980">
        <v>2</v>
      </c>
      <c r="D980">
        <v>5</v>
      </c>
      <c r="E980">
        <v>30</v>
      </c>
      <c r="F980">
        <v>0</v>
      </c>
      <c r="G980" t="s">
        <v>112</v>
      </c>
      <c r="H980">
        <v>1</v>
      </c>
      <c r="I980" t="s">
        <v>112</v>
      </c>
      <c r="J980">
        <v>112</v>
      </c>
      <c r="K980">
        <v>617</v>
      </c>
      <c r="L980">
        <v>1</v>
      </c>
      <c r="M980">
        <v>79</v>
      </c>
      <c r="N980">
        <v>412</v>
      </c>
      <c r="O980">
        <v>1</v>
      </c>
      <c r="P980">
        <v>15</v>
      </c>
      <c r="Q980">
        <v>139</v>
      </c>
      <c r="R980">
        <v>1</v>
      </c>
      <c r="S980">
        <v>1500000</v>
      </c>
      <c r="T980" t="s">
        <v>112</v>
      </c>
      <c r="U980" t="s">
        <v>1039</v>
      </c>
      <c r="W980">
        <v>262.5</v>
      </c>
      <c r="X980" t="b">
        <v>0</v>
      </c>
    </row>
    <row r="981" spans="1:24" x14ac:dyDescent="0.25">
      <c r="A981">
        <v>980</v>
      </c>
      <c r="B981" t="s">
        <v>1604</v>
      </c>
      <c r="C981">
        <v>2</v>
      </c>
      <c r="D981">
        <v>5</v>
      </c>
      <c r="E981">
        <v>30</v>
      </c>
      <c r="F981">
        <v>1</v>
      </c>
      <c r="G981" t="s">
        <v>112</v>
      </c>
      <c r="H981">
        <v>1</v>
      </c>
      <c r="I981" t="s">
        <v>112</v>
      </c>
      <c r="J981">
        <v>112</v>
      </c>
      <c r="K981">
        <v>614</v>
      </c>
      <c r="L981">
        <v>1</v>
      </c>
      <c r="M981">
        <v>78</v>
      </c>
      <c r="N981">
        <v>410</v>
      </c>
      <c r="O981">
        <v>1</v>
      </c>
      <c r="P981">
        <v>16</v>
      </c>
      <c r="Q981">
        <v>140</v>
      </c>
      <c r="R981">
        <v>1</v>
      </c>
      <c r="S981">
        <v>1500000</v>
      </c>
      <c r="T981" t="s">
        <v>112</v>
      </c>
      <c r="U981" t="s">
        <v>1416</v>
      </c>
      <c r="W981">
        <v>262.5</v>
      </c>
      <c r="X981" t="b">
        <v>0</v>
      </c>
    </row>
    <row r="982" spans="1:24" x14ac:dyDescent="0.25">
      <c r="A982">
        <v>981</v>
      </c>
      <c r="B982" t="s">
        <v>1605</v>
      </c>
      <c r="C982">
        <v>2</v>
      </c>
      <c r="D982">
        <v>5</v>
      </c>
      <c r="E982">
        <v>30</v>
      </c>
      <c r="F982">
        <v>2</v>
      </c>
      <c r="G982" t="s">
        <v>112</v>
      </c>
      <c r="H982">
        <v>1</v>
      </c>
      <c r="I982" t="s">
        <v>112</v>
      </c>
      <c r="J982">
        <v>113</v>
      </c>
      <c r="K982">
        <v>610</v>
      </c>
      <c r="L982">
        <v>1</v>
      </c>
      <c r="M982">
        <v>76</v>
      </c>
      <c r="N982">
        <v>408</v>
      </c>
      <c r="O982">
        <v>1</v>
      </c>
      <c r="P982">
        <v>17</v>
      </c>
      <c r="Q982">
        <v>142</v>
      </c>
      <c r="R982">
        <v>1</v>
      </c>
      <c r="S982">
        <v>1500000</v>
      </c>
      <c r="T982" t="s">
        <v>112</v>
      </c>
      <c r="U982" t="s">
        <v>1419</v>
      </c>
      <c r="W982">
        <v>262.5</v>
      </c>
      <c r="X982" t="b">
        <v>0</v>
      </c>
    </row>
    <row r="983" spans="1:24" x14ac:dyDescent="0.25">
      <c r="A983">
        <v>982</v>
      </c>
      <c r="B983" t="s">
        <v>1606</v>
      </c>
      <c r="C983">
        <v>6</v>
      </c>
      <c r="D983">
        <v>30</v>
      </c>
      <c r="E983">
        <v>99</v>
      </c>
      <c r="F983">
        <v>4</v>
      </c>
      <c r="G983" t="s">
        <v>112</v>
      </c>
      <c r="H983">
        <v>3</v>
      </c>
      <c r="I983" t="s">
        <v>112</v>
      </c>
      <c r="J983">
        <v>1593</v>
      </c>
      <c r="K983">
        <v>2308</v>
      </c>
      <c r="L983">
        <v>1</v>
      </c>
      <c r="M983">
        <v>996</v>
      </c>
      <c r="N983">
        <v>1189</v>
      </c>
      <c r="O983">
        <v>1</v>
      </c>
      <c r="P983">
        <v>438</v>
      </c>
      <c r="Q983">
        <v>556</v>
      </c>
      <c r="R983">
        <v>1</v>
      </c>
      <c r="S983">
        <v>4000000</v>
      </c>
      <c r="T983" t="s">
        <v>470</v>
      </c>
      <c r="U983" t="s">
        <v>198</v>
      </c>
      <c r="V983" t="s">
        <v>970</v>
      </c>
      <c r="W983">
        <v>1350</v>
      </c>
      <c r="X983" t="b">
        <v>0</v>
      </c>
    </row>
    <row r="984" spans="1:24" x14ac:dyDescent="0.25">
      <c r="A984">
        <v>983</v>
      </c>
      <c r="B984" t="s">
        <v>1607</v>
      </c>
      <c r="C984">
        <v>7</v>
      </c>
      <c r="D984">
        <v>35</v>
      </c>
      <c r="E984">
        <v>99</v>
      </c>
      <c r="F984">
        <v>4</v>
      </c>
      <c r="G984">
        <v>0</v>
      </c>
      <c r="H984">
        <v>3</v>
      </c>
      <c r="I984" t="s">
        <v>112</v>
      </c>
      <c r="J984">
        <v>1593</v>
      </c>
      <c r="K984">
        <v>2308</v>
      </c>
      <c r="L984">
        <v>1</v>
      </c>
      <c r="M984">
        <v>996</v>
      </c>
      <c r="N984">
        <v>1189</v>
      </c>
      <c r="O984">
        <v>1</v>
      </c>
      <c r="P984">
        <v>438</v>
      </c>
      <c r="Q984">
        <v>656</v>
      </c>
      <c r="R984">
        <v>1</v>
      </c>
      <c r="S984">
        <v>4000000</v>
      </c>
      <c r="T984" t="s">
        <v>1268</v>
      </c>
      <c r="U984" t="s">
        <v>198</v>
      </c>
      <c r="V984" t="s">
        <v>970</v>
      </c>
      <c r="W984">
        <v>1575</v>
      </c>
      <c r="X984" t="b">
        <v>0</v>
      </c>
    </row>
    <row r="985" spans="1:24" x14ac:dyDescent="0.25">
      <c r="A985">
        <v>984</v>
      </c>
      <c r="B985" t="s">
        <v>1608</v>
      </c>
      <c r="C985">
        <v>6</v>
      </c>
      <c r="D985">
        <v>35</v>
      </c>
      <c r="E985">
        <v>99</v>
      </c>
      <c r="F985">
        <v>0</v>
      </c>
      <c r="G985">
        <v>3</v>
      </c>
      <c r="H985">
        <v>2</v>
      </c>
      <c r="I985" t="s">
        <v>112</v>
      </c>
      <c r="J985">
        <v>3000</v>
      </c>
      <c r="K985">
        <v>6133</v>
      </c>
      <c r="L985">
        <v>1</v>
      </c>
      <c r="M985">
        <v>1101</v>
      </c>
      <c r="N985">
        <v>1363</v>
      </c>
      <c r="O985">
        <v>1</v>
      </c>
      <c r="P985">
        <v>0</v>
      </c>
      <c r="Q985">
        <v>-100</v>
      </c>
      <c r="R985">
        <v>1</v>
      </c>
      <c r="S985">
        <v>4000000</v>
      </c>
      <c r="T985" t="s">
        <v>334</v>
      </c>
      <c r="U985" t="s">
        <v>186</v>
      </c>
      <c r="V985" t="s">
        <v>962</v>
      </c>
      <c r="W985">
        <v>1537.5</v>
      </c>
      <c r="X985" t="b">
        <v>0</v>
      </c>
    </row>
    <row r="986" spans="1:24" x14ac:dyDescent="0.25">
      <c r="A986">
        <v>985</v>
      </c>
      <c r="B986" t="s">
        <v>1609</v>
      </c>
      <c r="C986">
        <v>8</v>
      </c>
      <c r="D986">
        <v>50</v>
      </c>
      <c r="E986">
        <v>99</v>
      </c>
      <c r="F986">
        <v>4</v>
      </c>
      <c r="G986">
        <v>4</v>
      </c>
      <c r="H986">
        <v>5</v>
      </c>
      <c r="I986">
        <v>7</v>
      </c>
      <c r="J986">
        <v>1430</v>
      </c>
      <c r="K986">
        <v>3240</v>
      </c>
      <c r="L986">
        <v>1.5</v>
      </c>
      <c r="M986">
        <v>889</v>
      </c>
      <c r="N986">
        <v>1596</v>
      </c>
      <c r="O986">
        <v>1.5</v>
      </c>
      <c r="P986">
        <v>180</v>
      </c>
      <c r="Q986">
        <v>308</v>
      </c>
      <c r="R986">
        <v>1.5</v>
      </c>
      <c r="S986">
        <v>4000000</v>
      </c>
      <c r="T986" t="s">
        <v>1610</v>
      </c>
      <c r="U986" t="s">
        <v>327</v>
      </c>
      <c r="V986" t="s">
        <v>409</v>
      </c>
      <c r="W986">
        <v>2175</v>
      </c>
      <c r="X986" t="b">
        <v>0</v>
      </c>
    </row>
    <row r="987" spans="1:24" x14ac:dyDescent="0.25">
      <c r="A987">
        <v>986</v>
      </c>
      <c r="B987" t="s">
        <v>2305</v>
      </c>
      <c r="C987">
        <v>7</v>
      </c>
      <c r="D987">
        <v>30</v>
      </c>
      <c r="E987">
        <v>99</v>
      </c>
      <c r="F987">
        <v>1</v>
      </c>
      <c r="G987">
        <v>1</v>
      </c>
      <c r="H987">
        <v>5</v>
      </c>
      <c r="I987">
        <v>2</v>
      </c>
      <c r="J987">
        <v>1320</v>
      </c>
      <c r="K987">
        <v>4190</v>
      </c>
      <c r="L987">
        <v>1.5</v>
      </c>
      <c r="M987">
        <v>793</v>
      </c>
      <c r="N987">
        <v>1150</v>
      </c>
      <c r="O987">
        <v>1.5</v>
      </c>
      <c r="P987">
        <v>150</v>
      </c>
      <c r="Q987">
        <v>222</v>
      </c>
      <c r="R987">
        <v>1.5</v>
      </c>
      <c r="S987">
        <v>4000000</v>
      </c>
      <c r="T987" t="s">
        <v>1611</v>
      </c>
      <c r="U987" t="s">
        <v>335</v>
      </c>
      <c r="V987" t="s">
        <v>2158</v>
      </c>
      <c r="W987">
        <v>1387.5</v>
      </c>
      <c r="X987" t="b">
        <v>0</v>
      </c>
    </row>
    <row r="988" spans="1:24" x14ac:dyDescent="0.25">
      <c r="A988">
        <v>987</v>
      </c>
      <c r="B988" t="s">
        <v>1612</v>
      </c>
      <c r="C988">
        <v>7</v>
      </c>
      <c r="D988">
        <v>30</v>
      </c>
      <c r="E988">
        <v>99</v>
      </c>
      <c r="F988">
        <v>2</v>
      </c>
      <c r="G988">
        <v>2</v>
      </c>
      <c r="H988">
        <v>5</v>
      </c>
      <c r="I988">
        <v>1</v>
      </c>
      <c r="J988">
        <v>1200</v>
      </c>
      <c r="K988">
        <v>2870</v>
      </c>
      <c r="L988">
        <v>1.5</v>
      </c>
      <c r="M988">
        <v>760</v>
      </c>
      <c r="N988">
        <v>1286</v>
      </c>
      <c r="O988">
        <v>1.5</v>
      </c>
      <c r="P988">
        <v>128</v>
      </c>
      <c r="Q988">
        <v>398</v>
      </c>
      <c r="R988">
        <v>1.5</v>
      </c>
      <c r="S988">
        <v>4000000</v>
      </c>
      <c r="T988" t="s">
        <v>1613</v>
      </c>
      <c r="U988" t="s">
        <v>339</v>
      </c>
      <c r="V988" t="s">
        <v>2159</v>
      </c>
      <c r="W988">
        <v>1387.5</v>
      </c>
      <c r="X988" t="b">
        <v>0</v>
      </c>
    </row>
    <row r="989" spans="1:24" x14ac:dyDescent="0.25">
      <c r="A989">
        <v>988</v>
      </c>
      <c r="B989" t="s">
        <v>1614</v>
      </c>
      <c r="C989">
        <v>7</v>
      </c>
      <c r="D989">
        <v>30</v>
      </c>
      <c r="E989">
        <v>99</v>
      </c>
      <c r="F989">
        <v>3</v>
      </c>
      <c r="G989">
        <v>3</v>
      </c>
      <c r="H989">
        <v>5</v>
      </c>
      <c r="I989">
        <v>3</v>
      </c>
      <c r="J989">
        <v>1170</v>
      </c>
      <c r="K989">
        <v>2521</v>
      </c>
      <c r="L989">
        <v>1.5</v>
      </c>
      <c r="M989">
        <v>709</v>
      </c>
      <c r="N989">
        <v>1111</v>
      </c>
      <c r="O989">
        <v>1.5</v>
      </c>
      <c r="P989">
        <v>255</v>
      </c>
      <c r="Q989">
        <v>802</v>
      </c>
      <c r="R989">
        <v>1.5</v>
      </c>
      <c r="S989">
        <v>4000000</v>
      </c>
      <c r="T989" t="s">
        <v>1615</v>
      </c>
      <c r="U989" t="s">
        <v>316</v>
      </c>
      <c r="V989" t="s">
        <v>2160</v>
      </c>
      <c r="W989">
        <v>1387.5</v>
      </c>
      <c r="X989" t="b">
        <v>0</v>
      </c>
    </row>
    <row r="990" spans="1:24" x14ac:dyDescent="0.25">
      <c r="A990">
        <v>989</v>
      </c>
      <c r="B990" t="s">
        <v>1616</v>
      </c>
      <c r="C990">
        <v>7</v>
      </c>
      <c r="D990">
        <v>30</v>
      </c>
      <c r="E990">
        <v>99</v>
      </c>
      <c r="F990">
        <v>4</v>
      </c>
      <c r="G990">
        <v>3</v>
      </c>
      <c r="H990">
        <v>5</v>
      </c>
      <c r="I990">
        <v>6</v>
      </c>
      <c r="J990">
        <v>1080</v>
      </c>
      <c r="K990">
        <v>2472</v>
      </c>
      <c r="L990">
        <v>1.5</v>
      </c>
      <c r="M990">
        <v>725</v>
      </c>
      <c r="N990">
        <v>2036</v>
      </c>
      <c r="O990">
        <v>1.5</v>
      </c>
      <c r="P990">
        <v>173</v>
      </c>
      <c r="Q990">
        <v>295</v>
      </c>
      <c r="R990">
        <v>1.5</v>
      </c>
      <c r="S990">
        <v>4000000</v>
      </c>
      <c r="T990" t="s">
        <v>1617</v>
      </c>
      <c r="U990" t="s">
        <v>322</v>
      </c>
      <c r="V990" t="s">
        <v>2306</v>
      </c>
      <c r="W990">
        <v>1387.5</v>
      </c>
      <c r="X990" t="b">
        <v>0</v>
      </c>
    </row>
    <row r="991" spans="1:24" x14ac:dyDescent="0.25">
      <c r="A991">
        <v>990</v>
      </c>
      <c r="B991" t="s">
        <v>1618</v>
      </c>
      <c r="C991">
        <v>7</v>
      </c>
      <c r="D991">
        <v>30</v>
      </c>
      <c r="E991">
        <v>99</v>
      </c>
      <c r="F991">
        <v>4</v>
      </c>
      <c r="G991">
        <v>4</v>
      </c>
      <c r="H991">
        <v>5</v>
      </c>
      <c r="I991">
        <v>1</v>
      </c>
      <c r="J991">
        <v>1080</v>
      </c>
      <c r="K991">
        <v>2972</v>
      </c>
      <c r="L991">
        <v>1.5</v>
      </c>
      <c r="M991">
        <v>725</v>
      </c>
      <c r="N991">
        <v>1436</v>
      </c>
      <c r="O991">
        <v>1.5</v>
      </c>
      <c r="P991">
        <v>173</v>
      </c>
      <c r="Q991">
        <v>545</v>
      </c>
      <c r="R991">
        <v>1.5</v>
      </c>
      <c r="S991">
        <v>4000000</v>
      </c>
      <c r="T991" t="s">
        <v>1619</v>
      </c>
      <c r="U991" t="s">
        <v>322</v>
      </c>
      <c r="V991" t="s">
        <v>2161</v>
      </c>
      <c r="W991">
        <v>1387.5</v>
      </c>
      <c r="X991" t="b">
        <v>0</v>
      </c>
    </row>
    <row r="992" spans="1:24" x14ac:dyDescent="0.25">
      <c r="A992">
        <v>991</v>
      </c>
      <c r="B992" t="s">
        <v>2026</v>
      </c>
      <c r="C992">
        <v>4</v>
      </c>
      <c r="D992">
        <v>12</v>
      </c>
      <c r="E992">
        <v>70</v>
      </c>
      <c r="F992">
        <v>4</v>
      </c>
      <c r="G992">
        <v>1</v>
      </c>
      <c r="H992">
        <v>6</v>
      </c>
      <c r="I992" t="s">
        <v>112</v>
      </c>
      <c r="J992">
        <v>619</v>
      </c>
      <c r="K992">
        <v>2194</v>
      </c>
      <c r="L992">
        <v>1</v>
      </c>
      <c r="M992">
        <v>517</v>
      </c>
      <c r="N992">
        <v>1193</v>
      </c>
      <c r="O992">
        <v>1</v>
      </c>
      <c r="P992">
        <v>-100</v>
      </c>
      <c r="Q992">
        <v>-100</v>
      </c>
      <c r="R992">
        <v>1</v>
      </c>
      <c r="S992">
        <v>3000000</v>
      </c>
      <c r="T992" t="s">
        <v>112</v>
      </c>
      <c r="U992" t="s">
        <v>2027</v>
      </c>
      <c r="V992" t="s">
        <v>1444</v>
      </c>
      <c r="W992">
        <v>600</v>
      </c>
      <c r="X992" t="b">
        <v>1</v>
      </c>
    </row>
    <row r="993" spans="1:24" x14ac:dyDescent="0.25">
      <c r="A993">
        <v>992</v>
      </c>
      <c r="B993" t="s">
        <v>2028</v>
      </c>
      <c r="C993">
        <v>6</v>
      </c>
      <c r="D993">
        <v>25</v>
      </c>
      <c r="E993">
        <v>99</v>
      </c>
      <c r="F993">
        <v>3</v>
      </c>
      <c r="G993">
        <v>3</v>
      </c>
      <c r="H993">
        <v>1</v>
      </c>
      <c r="I993" t="s">
        <v>112</v>
      </c>
      <c r="J993">
        <v>943</v>
      </c>
      <c r="K993">
        <v>2558</v>
      </c>
      <c r="L993">
        <v>1</v>
      </c>
      <c r="M993">
        <v>515</v>
      </c>
      <c r="N993">
        <v>1328</v>
      </c>
      <c r="O993">
        <v>1</v>
      </c>
      <c r="P993">
        <v>161</v>
      </c>
      <c r="Q993">
        <v>438</v>
      </c>
      <c r="R993">
        <v>1</v>
      </c>
      <c r="S993">
        <v>3000000</v>
      </c>
      <c r="T993" t="s">
        <v>2029</v>
      </c>
      <c r="U993" t="s">
        <v>853</v>
      </c>
      <c r="V993" t="s">
        <v>855</v>
      </c>
      <c r="W993">
        <v>1162.5</v>
      </c>
      <c r="X993" t="b">
        <v>1</v>
      </c>
    </row>
    <row r="994" spans="1:24" x14ac:dyDescent="0.25">
      <c r="A994">
        <v>993</v>
      </c>
      <c r="B994" t="s">
        <v>2030</v>
      </c>
      <c r="C994">
        <v>7</v>
      </c>
      <c r="D994">
        <v>60</v>
      </c>
      <c r="E994">
        <v>99</v>
      </c>
      <c r="F994">
        <v>4</v>
      </c>
      <c r="G994">
        <v>0</v>
      </c>
      <c r="H994">
        <v>4</v>
      </c>
      <c r="I994">
        <v>2</v>
      </c>
      <c r="J994">
        <v>1307</v>
      </c>
      <c r="K994">
        <v>4068</v>
      </c>
      <c r="L994">
        <v>1</v>
      </c>
      <c r="M994">
        <v>685</v>
      </c>
      <c r="N994">
        <v>1713</v>
      </c>
      <c r="O994">
        <v>1</v>
      </c>
      <c r="P994">
        <v>31</v>
      </c>
      <c r="Q994">
        <v>65</v>
      </c>
      <c r="R994">
        <v>1</v>
      </c>
      <c r="S994">
        <v>4000000</v>
      </c>
      <c r="T994" t="s">
        <v>2031</v>
      </c>
      <c r="U994" t="s">
        <v>887</v>
      </c>
      <c r="V994" t="s">
        <v>889</v>
      </c>
      <c r="W994">
        <v>2512.5</v>
      </c>
      <c r="X994" t="b">
        <v>1</v>
      </c>
    </row>
    <row r="995" spans="1:24" x14ac:dyDescent="0.25">
      <c r="A995">
        <v>994</v>
      </c>
      <c r="B995" t="s">
        <v>2307</v>
      </c>
      <c r="C995">
        <v>7</v>
      </c>
      <c r="D995">
        <v>35</v>
      </c>
      <c r="E995">
        <v>99</v>
      </c>
      <c r="F995">
        <v>0</v>
      </c>
      <c r="G995">
        <v>0</v>
      </c>
      <c r="H995">
        <v>5</v>
      </c>
      <c r="I995" t="s">
        <v>112</v>
      </c>
      <c r="J995">
        <v>1202</v>
      </c>
      <c r="K995">
        <v>3105</v>
      </c>
      <c r="L995">
        <v>1</v>
      </c>
      <c r="M995">
        <v>749</v>
      </c>
      <c r="N995">
        <v>1174</v>
      </c>
      <c r="O995">
        <v>1</v>
      </c>
      <c r="P995">
        <v>380</v>
      </c>
      <c r="Q995">
        <v>570</v>
      </c>
      <c r="R995">
        <v>1</v>
      </c>
      <c r="S995">
        <v>4000000</v>
      </c>
      <c r="T995" t="s">
        <v>1620</v>
      </c>
      <c r="U995" t="s">
        <v>760</v>
      </c>
      <c r="V995" t="s">
        <v>2202</v>
      </c>
      <c r="W995">
        <v>1575</v>
      </c>
      <c r="X995" t="b">
        <v>0</v>
      </c>
    </row>
    <row r="996" spans="1:24" x14ac:dyDescent="0.25">
      <c r="A996">
        <v>995</v>
      </c>
      <c r="B996" t="s">
        <v>2308</v>
      </c>
      <c r="C996">
        <v>7</v>
      </c>
      <c r="D996">
        <v>35</v>
      </c>
      <c r="E996">
        <v>99</v>
      </c>
      <c r="F996">
        <v>0</v>
      </c>
      <c r="G996">
        <v>3</v>
      </c>
      <c r="H996">
        <v>5</v>
      </c>
      <c r="I996" t="s">
        <v>112</v>
      </c>
      <c r="J996">
        <v>1202</v>
      </c>
      <c r="K996">
        <v>2805</v>
      </c>
      <c r="L996">
        <v>1</v>
      </c>
      <c r="M996">
        <v>749</v>
      </c>
      <c r="N996">
        <v>1824</v>
      </c>
      <c r="O996">
        <v>1</v>
      </c>
      <c r="P996">
        <v>380</v>
      </c>
      <c r="Q996">
        <v>90</v>
      </c>
      <c r="R996">
        <v>1</v>
      </c>
      <c r="S996">
        <v>4000000</v>
      </c>
      <c r="T996" t="s">
        <v>1621</v>
      </c>
      <c r="U996" t="s">
        <v>760</v>
      </c>
      <c r="V996" t="s">
        <v>2309</v>
      </c>
      <c r="W996">
        <v>1575</v>
      </c>
      <c r="X996" t="b">
        <v>0</v>
      </c>
    </row>
    <row r="997" spans="1:24" x14ac:dyDescent="0.25">
      <c r="A997">
        <v>996</v>
      </c>
      <c r="B997" t="s">
        <v>2310</v>
      </c>
      <c r="C997">
        <v>7</v>
      </c>
      <c r="D997">
        <v>35</v>
      </c>
      <c r="E997">
        <v>99</v>
      </c>
      <c r="F997">
        <v>1</v>
      </c>
      <c r="G997">
        <v>1</v>
      </c>
      <c r="H997">
        <v>5</v>
      </c>
      <c r="I997">
        <v>3</v>
      </c>
      <c r="J997">
        <v>1215</v>
      </c>
      <c r="K997">
        <v>3038</v>
      </c>
      <c r="L997">
        <v>1</v>
      </c>
      <c r="M997">
        <v>731</v>
      </c>
      <c r="N997">
        <v>1197</v>
      </c>
      <c r="O997">
        <v>1</v>
      </c>
      <c r="P997">
        <v>402</v>
      </c>
      <c r="Q997">
        <v>703</v>
      </c>
      <c r="R997">
        <v>1</v>
      </c>
      <c r="S997">
        <v>4000000</v>
      </c>
      <c r="T997" t="s">
        <v>1622</v>
      </c>
      <c r="U997" t="s">
        <v>931</v>
      </c>
      <c r="V997" t="s">
        <v>2204</v>
      </c>
      <c r="W997">
        <v>1575</v>
      </c>
      <c r="X997" t="b">
        <v>0</v>
      </c>
    </row>
    <row r="998" spans="1:24" x14ac:dyDescent="0.25">
      <c r="A998">
        <v>997</v>
      </c>
      <c r="B998" t="s">
        <v>2311</v>
      </c>
      <c r="C998">
        <v>7</v>
      </c>
      <c r="D998">
        <v>35</v>
      </c>
      <c r="E998">
        <v>99</v>
      </c>
      <c r="F998">
        <v>1</v>
      </c>
      <c r="G998">
        <v>3</v>
      </c>
      <c r="H998">
        <v>5</v>
      </c>
      <c r="I998">
        <v>2</v>
      </c>
      <c r="J998">
        <v>1215</v>
      </c>
      <c r="K998">
        <v>3538</v>
      </c>
      <c r="L998">
        <v>1</v>
      </c>
      <c r="M998">
        <v>731</v>
      </c>
      <c r="N998">
        <v>1097</v>
      </c>
      <c r="O998">
        <v>1</v>
      </c>
      <c r="P998">
        <v>402</v>
      </c>
      <c r="Q998">
        <v>463</v>
      </c>
      <c r="R998">
        <v>1</v>
      </c>
      <c r="S998">
        <v>4000000</v>
      </c>
      <c r="T998" t="s">
        <v>1623</v>
      </c>
      <c r="U998" t="s">
        <v>931</v>
      </c>
      <c r="V998" t="s">
        <v>2312</v>
      </c>
      <c r="W998">
        <v>1575</v>
      </c>
      <c r="X998" t="b">
        <v>0</v>
      </c>
    </row>
    <row r="999" spans="1:24" x14ac:dyDescent="0.25">
      <c r="A999">
        <v>998</v>
      </c>
      <c r="B999" t="s">
        <v>2313</v>
      </c>
      <c r="C999">
        <v>7</v>
      </c>
      <c r="D999">
        <v>35</v>
      </c>
      <c r="E999">
        <v>99</v>
      </c>
      <c r="F999">
        <v>3</v>
      </c>
      <c r="G999">
        <v>4</v>
      </c>
      <c r="H999">
        <v>5</v>
      </c>
      <c r="I999" t="s">
        <v>112</v>
      </c>
      <c r="J999">
        <v>1182</v>
      </c>
      <c r="K999">
        <v>3255</v>
      </c>
      <c r="L999">
        <v>1</v>
      </c>
      <c r="M999">
        <v>720</v>
      </c>
      <c r="N999">
        <v>1080</v>
      </c>
      <c r="O999">
        <v>1</v>
      </c>
      <c r="P999">
        <v>397</v>
      </c>
      <c r="Q999">
        <v>596</v>
      </c>
      <c r="R999">
        <v>1</v>
      </c>
      <c r="S999">
        <v>4000000</v>
      </c>
      <c r="T999" t="s">
        <v>935</v>
      </c>
      <c r="U999" t="s">
        <v>936</v>
      </c>
      <c r="V999" t="s">
        <v>2207</v>
      </c>
      <c r="W999">
        <v>1575</v>
      </c>
      <c r="X999" t="b">
        <v>0</v>
      </c>
    </row>
    <row r="1000" spans="1:24" x14ac:dyDescent="0.25">
      <c r="A1000">
        <v>999</v>
      </c>
      <c r="B1000" t="s">
        <v>2314</v>
      </c>
      <c r="C1000">
        <v>7</v>
      </c>
      <c r="D1000">
        <v>35</v>
      </c>
      <c r="E1000">
        <v>99</v>
      </c>
      <c r="F1000">
        <v>3</v>
      </c>
      <c r="G1000">
        <v>3</v>
      </c>
      <c r="H1000">
        <v>5</v>
      </c>
      <c r="I1000" t="s">
        <v>112</v>
      </c>
      <c r="J1000">
        <v>1182</v>
      </c>
      <c r="K1000">
        <v>3055</v>
      </c>
      <c r="L1000">
        <v>1</v>
      </c>
      <c r="M1000">
        <v>720</v>
      </c>
      <c r="N1000">
        <v>1180</v>
      </c>
      <c r="O1000">
        <v>1</v>
      </c>
      <c r="P1000">
        <v>397</v>
      </c>
      <c r="Q1000">
        <v>596</v>
      </c>
      <c r="R1000">
        <v>1</v>
      </c>
      <c r="S1000">
        <v>4000000</v>
      </c>
      <c r="T1000" t="s">
        <v>1624</v>
      </c>
      <c r="U1000" t="s">
        <v>936</v>
      </c>
      <c r="V1000" t="s">
        <v>2315</v>
      </c>
      <c r="W1000">
        <v>1575</v>
      </c>
      <c r="X1000" t="b">
        <v>0</v>
      </c>
    </row>
    <row r="1001" spans="1:24" x14ac:dyDescent="0.25">
      <c r="A1001">
        <v>1000</v>
      </c>
      <c r="B1001" t="s">
        <v>2316</v>
      </c>
      <c r="C1001">
        <v>7</v>
      </c>
      <c r="D1001">
        <v>35</v>
      </c>
      <c r="E1001">
        <v>99</v>
      </c>
      <c r="F1001">
        <v>4</v>
      </c>
      <c r="G1001">
        <v>4</v>
      </c>
      <c r="H1001">
        <v>5</v>
      </c>
      <c r="I1001">
        <v>7</v>
      </c>
      <c r="J1001">
        <v>1179</v>
      </c>
      <c r="K1001">
        <v>3348</v>
      </c>
      <c r="L1001">
        <v>1</v>
      </c>
      <c r="M1001">
        <v>733</v>
      </c>
      <c r="N1001">
        <v>1350</v>
      </c>
      <c r="O1001">
        <v>1</v>
      </c>
      <c r="P1001">
        <v>392</v>
      </c>
      <c r="Q1001">
        <v>488</v>
      </c>
      <c r="R1001">
        <v>1</v>
      </c>
      <c r="S1001">
        <v>4000000</v>
      </c>
      <c r="T1001" t="s">
        <v>1625</v>
      </c>
      <c r="U1001" t="s">
        <v>940</v>
      </c>
      <c r="V1001" t="s">
        <v>2209</v>
      </c>
      <c r="W1001">
        <v>1575</v>
      </c>
      <c r="X1001" t="b">
        <v>0</v>
      </c>
    </row>
    <row r="1002" spans="1:24" x14ac:dyDescent="0.25">
      <c r="A1002">
        <v>1001</v>
      </c>
      <c r="B1002" t="s">
        <v>2317</v>
      </c>
      <c r="C1002">
        <v>7</v>
      </c>
      <c r="D1002">
        <v>35</v>
      </c>
      <c r="E1002">
        <v>99</v>
      </c>
      <c r="F1002">
        <v>4</v>
      </c>
      <c r="G1002">
        <v>3</v>
      </c>
      <c r="H1002">
        <v>5</v>
      </c>
      <c r="I1002">
        <v>6</v>
      </c>
      <c r="J1002">
        <v>1179</v>
      </c>
      <c r="K1002">
        <v>2948</v>
      </c>
      <c r="L1002">
        <v>1</v>
      </c>
      <c r="M1002">
        <v>733</v>
      </c>
      <c r="N1002">
        <v>1350</v>
      </c>
      <c r="O1002">
        <v>1</v>
      </c>
      <c r="P1002">
        <v>392</v>
      </c>
      <c r="Q1002">
        <v>588</v>
      </c>
      <c r="R1002">
        <v>1</v>
      </c>
      <c r="S1002">
        <v>4000000</v>
      </c>
      <c r="T1002" t="s">
        <v>1626</v>
      </c>
      <c r="U1002" t="s">
        <v>940</v>
      </c>
      <c r="V1002" t="s">
        <v>2209</v>
      </c>
      <c r="W1002">
        <v>1575</v>
      </c>
      <c r="X1002" t="b">
        <v>0</v>
      </c>
    </row>
    <row r="1003" spans="1:24" x14ac:dyDescent="0.25">
      <c r="A1003">
        <v>1002</v>
      </c>
      <c r="B1003" t="s">
        <v>2318</v>
      </c>
      <c r="C1003">
        <v>4</v>
      </c>
      <c r="D1003">
        <v>1</v>
      </c>
      <c r="E1003">
        <v>1</v>
      </c>
      <c r="F1003">
        <v>3</v>
      </c>
      <c r="G1003" t="s">
        <v>112</v>
      </c>
      <c r="H1003">
        <v>12</v>
      </c>
      <c r="I1003" t="s">
        <v>112</v>
      </c>
      <c r="J1003">
        <v>50</v>
      </c>
      <c r="K1003">
        <v>50</v>
      </c>
      <c r="L1003">
        <v>1</v>
      </c>
      <c r="M1003">
        <v>50</v>
      </c>
      <c r="N1003">
        <v>50</v>
      </c>
      <c r="O1003">
        <v>1</v>
      </c>
      <c r="P1003">
        <v>50</v>
      </c>
      <c r="Q1003">
        <v>50</v>
      </c>
      <c r="R1003">
        <v>1</v>
      </c>
      <c r="S1003">
        <v>1500000</v>
      </c>
      <c r="T1003" t="s">
        <v>1627</v>
      </c>
      <c r="U1003" t="s">
        <v>112</v>
      </c>
      <c r="W1003">
        <v>2500</v>
      </c>
      <c r="X1003" t="b">
        <v>0</v>
      </c>
    </row>
    <row r="1004" spans="1:24" x14ac:dyDescent="0.25">
      <c r="A1004">
        <v>1003</v>
      </c>
      <c r="B1004" t="s">
        <v>2319</v>
      </c>
      <c r="C1004">
        <v>4</v>
      </c>
      <c r="D1004">
        <v>5</v>
      </c>
      <c r="E1004">
        <v>15</v>
      </c>
      <c r="F1004">
        <v>3</v>
      </c>
      <c r="G1004" t="s">
        <v>112</v>
      </c>
      <c r="H1004">
        <v>14</v>
      </c>
      <c r="I1004" t="s">
        <v>112</v>
      </c>
      <c r="J1004">
        <v>300</v>
      </c>
      <c r="K1004">
        <v>777</v>
      </c>
      <c r="L1004">
        <v>1</v>
      </c>
      <c r="M1004">
        <v>200</v>
      </c>
      <c r="N1004">
        <v>500</v>
      </c>
      <c r="O1004">
        <v>1</v>
      </c>
      <c r="P1004">
        <v>10</v>
      </c>
      <c r="Q1004">
        <v>100</v>
      </c>
      <c r="R1004">
        <v>1</v>
      </c>
      <c r="S1004">
        <v>1500000</v>
      </c>
      <c r="T1004" t="s">
        <v>112</v>
      </c>
      <c r="U1004" t="s">
        <v>112</v>
      </c>
      <c r="W1004">
        <v>337.5</v>
      </c>
      <c r="X1004" t="b">
        <v>0</v>
      </c>
    </row>
    <row r="1005" spans="1:24" x14ac:dyDescent="0.25">
      <c r="A1005">
        <v>1004</v>
      </c>
      <c r="B1005" t="s">
        <v>2320</v>
      </c>
      <c r="C1005">
        <v>4</v>
      </c>
      <c r="D1005">
        <v>5</v>
      </c>
      <c r="E1005">
        <v>15</v>
      </c>
      <c r="F1005">
        <v>3</v>
      </c>
      <c r="G1005" t="s">
        <v>112</v>
      </c>
      <c r="H1005">
        <v>14</v>
      </c>
      <c r="I1005" t="s">
        <v>112</v>
      </c>
      <c r="J1005">
        <v>300</v>
      </c>
      <c r="K1005">
        <v>777</v>
      </c>
      <c r="L1005">
        <v>1</v>
      </c>
      <c r="M1005">
        <v>200</v>
      </c>
      <c r="N1005">
        <v>500</v>
      </c>
      <c r="O1005">
        <v>1</v>
      </c>
      <c r="P1005">
        <v>10</v>
      </c>
      <c r="Q1005">
        <v>100</v>
      </c>
      <c r="R1005">
        <v>1</v>
      </c>
      <c r="S1005">
        <v>1500000</v>
      </c>
      <c r="T1005" t="s">
        <v>112</v>
      </c>
      <c r="U1005" t="s">
        <v>112</v>
      </c>
      <c r="W1005">
        <v>337.5</v>
      </c>
      <c r="X1005" t="b">
        <v>0</v>
      </c>
    </row>
    <row r="1006" spans="1:24" x14ac:dyDescent="0.25">
      <c r="A1006">
        <v>1005</v>
      </c>
      <c r="B1006" t="s">
        <v>2321</v>
      </c>
      <c r="C1006">
        <v>5</v>
      </c>
      <c r="D1006">
        <v>13</v>
      </c>
      <c r="E1006">
        <v>50</v>
      </c>
      <c r="F1006">
        <v>3</v>
      </c>
      <c r="G1006" t="s">
        <v>112</v>
      </c>
      <c r="H1006">
        <v>14</v>
      </c>
      <c r="I1006" t="s">
        <v>112</v>
      </c>
      <c r="J1006">
        <v>777</v>
      </c>
      <c r="K1006">
        <v>1225</v>
      </c>
      <c r="L1006">
        <v>1</v>
      </c>
      <c r="M1006">
        <v>500</v>
      </c>
      <c r="N1006">
        <v>918</v>
      </c>
      <c r="O1006">
        <v>1</v>
      </c>
      <c r="P1006">
        <v>100</v>
      </c>
      <c r="Q1006">
        <v>220</v>
      </c>
      <c r="R1006">
        <v>1</v>
      </c>
      <c r="S1006">
        <v>1500000</v>
      </c>
      <c r="T1006" t="s">
        <v>1628</v>
      </c>
      <c r="U1006" t="s">
        <v>1629</v>
      </c>
      <c r="W1006">
        <v>20000</v>
      </c>
      <c r="X1006" t="b">
        <v>0</v>
      </c>
    </row>
    <row r="1007" spans="1:24" x14ac:dyDescent="0.25">
      <c r="A1007">
        <v>1006</v>
      </c>
      <c r="B1007" t="s">
        <v>2322</v>
      </c>
      <c r="C1007">
        <v>5</v>
      </c>
      <c r="D1007">
        <v>13</v>
      </c>
      <c r="E1007">
        <v>50</v>
      </c>
      <c r="F1007">
        <v>4</v>
      </c>
      <c r="G1007" t="s">
        <v>112</v>
      </c>
      <c r="H1007">
        <v>14</v>
      </c>
      <c r="I1007" t="s">
        <v>112</v>
      </c>
      <c r="J1007">
        <v>777</v>
      </c>
      <c r="K1007">
        <v>1225</v>
      </c>
      <c r="L1007">
        <v>1</v>
      </c>
      <c r="M1007">
        <v>500</v>
      </c>
      <c r="N1007">
        <v>918</v>
      </c>
      <c r="O1007">
        <v>1</v>
      </c>
      <c r="P1007">
        <v>100</v>
      </c>
      <c r="Q1007">
        <v>220</v>
      </c>
      <c r="R1007">
        <v>1</v>
      </c>
      <c r="S1007">
        <v>1500000</v>
      </c>
      <c r="T1007" t="s">
        <v>1630</v>
      </c>
      <c r="U1007" t="s">
        <v>1631</v>
      </c>
      <c r="W1007">
        <v>20000</v>
      </c>
      <c r="X1007" t="b">
        <v>0</v>
      </c>
    </row>
    <row r="1008" spans="1:24" x14ac:dyDescent="0.25">
      <c r="A1008">
        <v>1007</v>
      </c>
      <c r="B1008" t="s">
        <v>2323</v>
      </c>
      <c r="C1008">
        <v>2</v>
      </c>
      <c r="D1008">
        <v>5</v>
      </c>
      <c r="E1008">
        <v>30</v>
      </c>
      <c r="F1008">
        <v>3</v>
      </c>
      <c r="G1008" t="s">
        <v>112</v>
      </c>
      <c r="H1008">
        <v>1</v>
      </c>
      <c r="I1008" t="s">
        <v>112</v>
      </c>
      <c r="J1008">
        <v>105</v>
      </c>
      <c r="K1008">
        <v>582</v>
      </c>
      <c r="L1008">
        <v>1</v>
      </c>
      <c r="M1008">
        <v>74</v>
      </c>
      <c r="N1008">
        <v>404</v>
      </c>
      <c r="O1008">
        <v>1</v>
      </c>
      <c r="P1008">
        <v>20</v>
      </c>
      <c r="Q1008">
        <v>152</v>
      </c>
      <c r="R1008">
        <v>1</v>
      </c>
      <c r="S1008">
        <v>1500000</v>
      </c>
      <c r="T1008" t="s">
        <v>112</v>
      </c>
      <c r="U1008" t="s">
        <v>1054</v>
      </c>
      <c r="W1008">
        <v>262.5</v>
      </c>
      <c r="X1008" t="b">
        <v>0</v>
      </c>
    </row>
    <row r="1009" spans="1:24" x14ac:dyDescent="0.25">
      <c r="A1009">
        <v>1008</v>
      </c>
      <c r="B1009" t="s">
        <v>2324</v>
      </c>
      <c r="C1009">
        <v>2</v>
      </c>
      <c r="D1009">
        <v>5</v>
      </c>
      <c r="E1009">
        <v>30</v>
      </c>
      <c r="F1009">
        <v>4</v>
      </c>
      <c r="G1009" t="s">
        <v>112</v>
      </c>
      <c r="H1009">
        <v>1</v>
      </c>
      <c r="I1009" t="s">
        <v>112</v>
      </c>
      <c r="J1009">
        <v>109</v>
      </c>
      <c r="K1009">
        <v>591</v>
      </c>
      <c r="L1009">
        <v>1</v>
      </c>
      <c r="M1009">
        <v>78</v>
      </c>
      <c r="N1009">
        <v>411</v>
      </c>
      <c r="O1009">
        <v>1</v>
      </c>
      <c r="P1009">
        <v>18</v>
      </c>
      <c r="Q1009">
        <v>147</v>
      </c>
      <c r="R1009">
        <v>1</v>
      </c>
      <c r="S1009">
        <v>1500000</v>
      </c>
      <c r="T1009" t="s">
        <v>112</v>
      </c>
      <c r="U1009" t="s">
        <v>1427</v>
      </c>
      <c r="W1009">
        <v>262.5</v>
      </c>
      <c r="X1009" t="b">
        <v>0</v>
      </c>
    </row>
    <row r="1010" spans="1:24" x14ac:dyDescent="0.25">
      <c r="A1010">
        <v>1009</v>
      </c>
      <c r="B1010" t="s">
        <v>2032</v>
      </c>
      <c r="C1010">
        <v>5</v>
      </c>
      <c r="D1010">
        <v>15</v>
      </c>
      <c r="E1010">
        <v>50</v>
      </c>
      <c r="F1010">
        <v>2</v>
      </c>
      <c r="G1010" t="s">
        <v>112</v>
      </c>
      <c r="H1010">
        <v>2</v>
      </c>
      <c r="I1010" t="s">
        <v>112</v>
      </c>
      <c r="J1010">
        <v>356</v>
      </c>
      <c r="K1010">
        <v>1602</v>
      </c>
      <c r="L1010">
        <v>1</v>
      </c>
      <c r="M1010">
        <v>129</v>
      </c>
      <c r="N1010">
        <v>581</v>
      </c>
      <c r="O1010">
        <v>1</v>
      </c>
      <c r="P1010">
        <v>51</v>
      </c>
      <c r="Q1010">
        <v>107</v>
      </c>
      <c r="R1010">
        <v>1</v>
      </c>
      <c r="S1010">
        <v>4000000</v>
      </c>
      <c r="T1010" t="s">
        <v>2033</v>
      </c>
      <c r="U1010" t="s">
        <v>2034</v>
      </c>
      <c r="W1010">
        <v>750</v>
      </c>
      <c r="X1010" t="b">
        <v>1</v>
      </c>
    </row>
    <row r="1011" spans="1:24" x14ac:dyDescent="0.25">
      <c r="A1011">
        <v>1010</v>
      </c>
      <c r="B1011" t="s">
        <v>2035</v>
      </c>
      <c r="C1011">
        <v>6</v>
      </c>
      <c r="D1011">
        <v>25</v>
      </c>
      <c r="E1011">
        <v>99</v>
      </c>
      <c r="F1011">
        <v>2</v>
      </c>
      <c r="G1011">
        <v>0</v>
      </c>
      <c r="H1011">
        <v>2</v>
      </c>
      <c r="I1011" t="s">
        <v>112</v>
      </c>
      <c r="J1011">
        <v>1282</v>
      </c>
      <c r="K1011">
        <v>3205</v>
      </c>
      <c r="L1011">
        <v>1</v>
      </c>
      <c r="M1011">
        <v>523</v>
      </c>
      <c r="N1011">
        <v>1308</v>
      </c>
      <c r="O1011">
        <v>1</v>
      </c>
      <c r="P1011">
        <v>96</v>
      </c>
      <c r="Q1011">
        <v>202</v>
      </c>
      <c r="R1011">
        <v>1</v>
      </c>
      <c r="S1011">
        <v>4000000</v>
      </c>
      <c r="T1011" t="s">
        <v>2033</v>
      </c>
      <c r="U1011" t="s">
        <v>2034</v>
      </c>
      <c r="V1011" t="s">
        <v>1632</v>
      </c>
      <c r="W1011">
        <v>1162.5</v>
      </c>
      <c r="X1011" t="b">
        <v>1</v>
      </c>
    </row>
    <row r="1012" spans="1:24" x14ac:dyDescent="0.25">
      <c r="A1012">
        <v>1011</v>
      </c>
      <c r="B1012" t="s">
        <v>2036</v>
      </c>
      <c r="C1012">
        <v>5</v>
      </c>
      <c r="D1012">
        <v>15</v>
      </c>
      <c r="E1012">
        <v>50</v>
      </c>
      <c r="F1012">
        <v>4</v>
      </c>
      <c r="G1012" t="s">
        <v>112</v>
      </c>
      <c r="H1012">
        <v>6</v>
      </c>
      <c r="I1012" t="s">
        <v>112</v>
      </c>
      <c r="J1012">
        <v>244</v>
      </c>
      <c r="K1012">
        <v>1098</v>
      </c>
      <c r="L1012">
        <v>1</v>
      </c>
      <c r="M1012">
        <v>165</v>
      </c>
      <c r="N1012">
        <v>743</v>
      </c>
      <c r="O1012">
        <v>1</v>
      </c>
      <c r="P1012">
        <v>72</v>
      </c>
      <c r="Q1012">
        <v>151</v>
      </c>
      <c r="R1012">
        <v>1</v>
      </c>
      <c r="S1012">
        <v>4000000</v>
      </c>
      <c r="T1012" t="s">
        <v>2037</v>
      </c>
      <c r="U1012" t="s">
        <v>2038</v>
      </c>
      <c r="W1012">
        <v>750</v>
      </c>
      <c r="X1012" t="b">
        <v>1</v>
      </c>
    </row>
    <row r="1013" spans="1:24" x14ac:dyDescent="0.25">
      <c r="A1013">
        <v>1012</v>
      </c>
      <c r="B1013" t="s">
        <v>2039</v>
      </c>
      <c r="C1013">
        <v>6</v>
      </c>
      <c r="D1013">
        <v>25</v>
      </c>
      <c r="E1013">
        <v>99</v>
      </c>
      <c r="F1013">
        <v>4</v>
      </c>
      <c r="G1013">
        <v>3</v>
      </c>
      <c r="H1013">
        <v>6</v>
      </c>
      <c r="I1013" t="s">
        <v>112</v>
      </c>
      <c r="J1013">
        <v>878</v>
      </c>
      <c r="K1013">
        <v>2195</v>
      </c>
      <c r="L1013">
        <v>1</v>
      </c>
      <c r="M1013">
        <v>669</v>
      </c>
      <c r="N1013">
        <v>1673</v>
      </c>
      <c r="O1013">
        <v>1</v>
      </c>
      <c r="P1013">
        <v>136</v>
      </c>
      <c r="Q1013">
        <v>286</v>
      </c>
      <c r="R1013">
        <v>1</v>
      </c>
      <c r="S1013">
        <v>4000000</v>
      </c>
      <c r="T1013" t="s">
        <v>2037</v>
      </c>
      <c r="U1013" t="s">
        <v>2038</v>
      </c>
      <c r="V1013" t="s">
        <v>1633</v>
      </c>
      <c r="W1013">
        <v>1162.5</v>
      </c>
      <c r="X1013" t="b">
        <v>1</v>
      </c>
    </row>
    <row r="1014" spans="1:24" x14ac:dyDescent="0.25">
      <c r="A1014">
        <v>1013</v>
      </c>
      <c r="B1014" t="s">
        <v>2040</v>
      </c>
      <c r="C1014">
        <v>4</v>
      </c>
      <c r="D1014">
        <v>10</v>
      </c>
      <c r="E1014">
        <v>50</v>
      </c>
      <c r="F1014">
        <v>1</v>
      </c>
      <c r="G1014" t="s">
        <v>112</v>
      </c>
      <c r="H1014">
        <v>1</v>
      </c>
      <c r="I1014" t="s">
        <v>112</v>
      </c>
      <c r="J1014">
        <v>266</v>
      </c>
      <c r="K1014">
        <v>1197</v>
      </c>
      <c r="L1014">
        <v>1</v>
      </c>
      <c r="M1014">
        <v>131</v>
      </c>
      <c r="N1014">
        <v>590</v>
      </c>
      <c r="O1014">
        <v>1</v>
      </c>
      <c r="P1014">
        <v>94</v>
      </c>
      <c r="Q1014">
        <v>197</v>
      </c>
      <c r="R1014">
        <v>1</v>
      </c>
      <c r="S1014">
        <v>3000000</v>
      </c>
      <c r="T1014" t="s">
        <v>2041</v>
      </c>
      <c r="U1014" t="s">
        <v>2042</v>
      </c>
      <c r="W1014">
        <v>525</v>
      </c>
      <c r="X1014" t="b">
        <v>1</v>
      </c>
    </row>
    <row r="1015" spans="1:24" x14ac:dyDescent="0.25">
      <c r="A1015">
        <v>1014</v>
      </c>
      <c r="B1015" t="s">
        <v>2043</v>
      </c>
      <c r="C1015">
        <v>5</v>
      </c>
      <c r="D1015">
        <v>20</v>
      </c>
      <c r="E1015">
        <v>99</v>
      </c>
      <c r="F1015">
        <v>1</v>
      </c>
      <c r="G1015">
        <v>0</v>
      </c>
      <c r="H1015">
        <v>1</v>
      </c>
      <c r="I1015" t="s">
        <v>112</v>
      </c>
      <c r="J1015">
        <v>958</v>
      </c>
      <c r="K1015">
        <v>2395</v>
      </c>
      <c r="L1015">
        <v>1</v>
      </c>
      <c r="M1015">
        <v>531</v>
      </c>
      <c r="N1015">
        <v>1228</v>
      </c>
      <c r="O1015">
        <v>1</v>
      </c>
      <c r="P1015">
        <v>177</v>
      </c>
      <c r="Q1015">
        <v>372</v>
      </c>
      <c r="R1015">
        <v>1</v>
      </c>
      <c r="S1015">
        <v>3000000</v>
      </c>
      <c r="T1015" t="s">
        <v>2041</v>
      </c>
      <c r="U1015" t="s">
        <v>2042</v>
      </c>
      <c r="V1015" t="s">
        <v>1634</v>
      </c>
      <c r="W1015">
        <v>937.5</v>
      </c>
      <c r="X1015" t="b">
        <v>1</v>
      </c>
    </row>
    <row r="1016" spans="1:24" x14ac:dyDescent="0.25">
      <c r="A1016">
        <v>1015</v>
      </c>
      <c r="B1016" t="s">
        <v>2044</v>
      </c>
      <c r="C1016">
        <v>4</v>
      </c>
      <c r="D1016">
        <v>10</v>
      </c>
      <c r="E1016">
        <v>50</v>
      </c>
      <c r="F1016">
        <v>2</v>
      </c>
      <c r="G1016" t="s">
        <v>112</v>
      </c>
      <c r="H1016">
        <v>3</v>
      </c>
      <c r="I1016" t="s">
        <v>112</v>
      </c>
      <c r="J1016">
        <v>297</v>
      </c>
      <c r="K1016">
        <v>1337</v>
      </c>
      <c r="L1016">
        <v>1</v>
      </c>
      <c r="M1016">
        <v>96</v>
      </c>
      <c r="N1016">
        <v>432</v>
      </c>
      <c r="O1016">
        <v>1</v>
      </c>
      <c r="P1016">
        <v>126</v>
      </c>
      <c r="Q1016">
        <v>265</v>
      </c>
      <c r="R1016">
        <v>1</v>
      </c>
      <c r="S1016">
        <v>3000000</v>
      </c>
      <c r="T1016" t="s">
        <v>2045</v>
      </c>
      <c r="U1016" t="s">
        <v>2046</v>
      </c>
      <c r="W1016">
        <v>525</v>
      </c>
      <c r="X1016" t="b">
        <v>1</v>
      </c>
    </row>
    <row r="1017" spans="1:24" x14ac:dyDescent="0.25">
      <c r="A1017">
        <v>1016</v>
      </c>
      <c r="B1017" t="s">
        <v>2047</v>
      </c>
      <c r="C1017">
        <v>5</v>
      </c>
      <c r="D1017">
        <v>20</v>
      </c>
      <c r="E1017">
        <v>99</v>
      </c>
      <c r="F1017">
        <v>2</v>
      </c>
      <c r="G1017">
        <v>1</v>
      </c>
      <c r="H1017">
        <v>3</v>
      </c>
      <c r="I1017" t="s">
        <v>112</v>
      </c>
      <c r="J1017">
        <v>1070</v>
      </c>
      <c r="K1017">
        <v>2675</v>
      </c>
      <c r="L1017">
        <v>1</v>
      </c>
      <c r="M1017">
        <v>389</v>
      </c>
      <c r="N1017">
        <v>973</v>
      </c>
      <c r="O1017">
        <v>1</v>
      </c>
      <c r="P1017">
        <v>239</v>
      </c>
      <c r="Q1017">
        <v>502</v>
      </c>
      <c r="R1017">
        <v>1</v>
      </c>
      <c r="S1017">
        <v>3000000</v>
      </c>
      <c r="T1017" t="s">
        <v>2045</v>
      </c>
      <c r="U1017" t="s">
        <v>2046</v>
      </c>
      <c r="V1017" t="s">
        <v>1635</v>
      </c>
      <c r="W1017">
        <v>937.5</v>
      </c>
      <c r="X1017" t="b">
        <v>1</v>
      </c>
    </row>
    <row r="1018" spans="1:24" x14ac:dyDescent="0.25">
      <c r="A1018">
        <v>1017</v>
      </c>
      <c r="B1018" t="s">
        <v>2048</v>
      </c>
      <c r="C1018">
        <v>4</v>
      </c>
      <c r="D1018">
        <v>10</v>
      </c>
      <c r="E1018">
        <v>50</v>
      </c>
      <c r="F1018">
        <v>3</v>
      </c>
      <c r="G1018" t="s">
        <v>112</v>
      </c>
      <c r="H1018">
        <v>2</v>
      </c>
      <c r="I1018" t="s">
        <v>112</v>
      </c>
      <c r="J1018">
        <v>429</v>
      </c>
      <c r="K1018">
        <v>1931</v>
      </c>
      <c r="L1018">
        <v>1</v>
      </c>
      <c r="M1018">
        <v>120</v>
      </c>
      <c r="N1018">
        <v>540</v>
      </c>
      <c r="O1018">
        <v>1</v>
      </c>
      <c r="P1018">
        <v>1</v>
      </c>
      <c r="Q1018">
        <v>2</v>
      </c>
      <c r="R1018">
        <v>1</v>
      </c>
      <c r="S1018">
        <v>3000000</v>
      </c>
      <c r="T1018" t="s">
        <v>2049</v>
      </c>
      <c r="U1018" t="s">
        <v>2050</v>
      </c>
      <c r="W1018">
        <v>525</v>
      </c>
      <c r="X1018" t="b">
        <v>1</v>
      </c>
    </row>
    <row r="1019" spans="1:24" x14ac:dyDescent="0.25">
      <c r="A1019">
        <v>1018</v>
      </c>
      <c r="B1019" t="s">
        <v>2051</v>
      </c>
      <c r="C1019">
        <v>5</v>
      </c>
      <c r="D1019">
        <v>20</v>
      </c>
      <c r="E1019">
        <v>99</v>
      </c>
      <c r="F1019">
        <v>3</v>
      </c>
      <c r="G1019">
        <v>0</v>
      </c>
      <c r="H1019">
        <v>2</v>
      </c>
      <c r="I1019" t="s">
        <v>112</v>
      </c>
      <c r="J1019">
        <v>1545</v>
      </c>
      <c r="K1019">
        <v>3863</v>
      </c>
      <c r="L1019">
        <v>1</v>
      </c>
      <c r="M1019">
        <v>486</v>
      </c>
      <c r="N1019">
        <v>1215</v>
      </c>
      <c r="O1019">
        <v>1</v>
      </c>
      <c r="P1019">
        <v>2</v>
      </c>
      <c r="Q1019">
        <v>4</v>
      </c>
      <c r="R1019">
        <v>1</v>
      </c>
      <c r="S1019">
        <v>3000000</v>
      </c>
      <c r="T1019" t="s">
        <v>2049</v>
      </c>
      <c r="U1019" t="s">
        <v>2050</v>
      </c>
      <c r="V1019" t="s">
        <v>1636</v>
      </c>
      <c r="W1019">
        <v>937.5</v>
      </c>
      <c r="X1019" t="b">
        <v>1</v>
      </c>
    </row>
    <row r="1020" spans="1:24" x14ac:dyDescent="0.25">
      <c r="A1020">
        <v>1019</v>
      </c>
      <c r="B1020" t="s">
        <v>2052</v>
      </c>
      <c r="C1020">
        <v>4</v>
      </c>
      <c r="D1020">
        <v>10</v>
      </c>
      <c r="E1020">
        <v>50</v>
      </c>
      <c r="F1020">
        <v>4</v>
      </c>
      <c r="G1020" t="s">
        <v>112</v>
      </c>
      <c r="H1020">
        <v>1</v>
      </c>
      <c r="I1020" t="s">
        <v>112</v>
      </c>
      <c r="J1020">
        <v>286</v>
      </c>
      <c r="K1020">
        <v>1287</v>
      </c>
      <c r="L1020">
        <v>1</v>
      </c>
      <c r="M1020">
        <v>131</v>
      </c>
      <c r="N1020">
        <v>590</v>
      </c>
      <c r="O1020">
        <v>1</v>
      </c>
      <c r="P1020">
        <v>80</v>
      </c>
      <c r="Q1020">
        <v>168</v>
      </c>
      <c r="R1020">
        <v>1</v>
      </c>
      <c r="S1020">
        <v>3000000</v>
      </c>
      <c r="T1020" t="s">
        <v>2053</v>
      </c>
      <c r="U1020" t="s">
        <v>2054</v>
      </c>
      <c r="W1020">
        <v>525</v>
      </c>
      <c r="X1020" t="b">
        <v>1</v>
      </c>
    </row>
    <row r="1021" spans="1:24" x14ac:dyDescent="0.25">
      <c r="A1021">
        <v>1020</v>
      </c>
      <c r="B1021" t="s">
        <v>2055</v>
      </c>
      <c r="C1021">
        <v>5</v>
      </c>
      <c r="D1021">
        <v>20</v>
      </c>
      <c r="E1021">
        <v>99</v>
      </c>
      <c r="F1021">
        <v>4</v>
      </c>
      <c r="G1021">
        <v>3</v>
      </c>
      <c r="H1021">
        <v>1</v>
      </c>
      <c r="I1021" t="s">
        <v>112</v>
      </c>
      <c r="J1021">
        <v>1030</v>
      </c>
      <c r="K1021">
        <v>2575</v>
      </c>
      <c r="L1021">
        <v>1</v>
      </c>
      <c r="M1021">
        <v>531</v>
      </c>
      <c r="N1021">
        <v>1328</v>
      </c>
      <c r="O1021">
        <v>1</v>
      </c>
      <c r="P1021">
        <v>151</v>
      </c>
      <c r="Q1021">
        <v>317</v>
      </c>
      <c r="R1021">
        <v>1</v>
      </c>
      <c r="S1021">
        <v>3000000</v>
      </c>
      <c r="T1021" t="s">
        <v>2053</v>
      </c>
      <c r="U1021" t="s">
        <v>2054</v>
      </c>
      <c r="V1021" t="s">
        <v>1637</v>
      </c>
      <c r="W1021">
        <v>937.5</v>
      </c>
      <c r="X1021" t="b">
        <v>1</v>
      </c>
    </row>
    <row r="1022" spans="1:24" x14ac:dyDescent="0.25">
      <c r="A1022">
        <v>1021</v>
      </c>
      <c r="B1022" t="s">
        <v>2056</v>
      </c>
      <c r="C1022">
        <v>4</v>
      </c>
      <c r="D1022">
        <v>10</v>
      </c>
      <c r="E1022">
        <v>50</v>
      </c>
      <c r="F1022">
        <v>0</v>
      </c>
      <c r="G1022" t="s">
        <v>112</v>
      </c>
      <c r="H1022">
        <v>7</v>
      </c>
      <c r="I1022" t="s">
        <v>112</v>
      </c>
      <c r="J1022">
        <v>288</v>
      </c>
      <c r="K1022">
        <v>1296</v>
      </c>
      <c r="L1022">
        <v>1</v>
      </c>
      <c r="M1022">
        <v>149</v>
      </c>
      <c r="N1022">
        <v>671</v>
      </c>
      <c r="O1022">
        <v>1</v>
      </c>
      <c r="P1022">
        <v>52</v>
      </c>
      <c r="Q1022">
        <v>109</v>
      </c>
      <c r="R1022">
        <v>1</v>
      </c>
      <c r="S1022">
        <v>3000000</v>
      </c>
      <c r="T1022" t="s">
        <v>2057</v>
      </c>
      <c r="U1022" t="s">
        <v>2058</v>
      </c>
      <c r="W1022">
        <v>525</v>
      </c>
      <c r="X1022" t="b">
        <v>1</v>
      </c>
    </row>
    <row r="1023" spans="1:24" x14ac:dyDescent="0.25">
      <c r="A1023">
        <v>1022</v>
      </c>
      <c r="B1023" t="s">
        <v>2059</v>
      </c>
      <c r="C1023">
        <v>5</v>
      </c>
      <c r="D1023">
        <v>20</v>
      </c>
      <c r="E1023">
        <v>99</v>
      </c>
      <c r="F1023">
        <v>0</v>
      </c>
      <c r="G1023">
        <v>4</v>
      </c>
      <c r="H1023">
        <v>7</v>
      </c>
      <c r="I1023" t="s">
        <v>112</v>
      </c>
      <c r="J1023">
        <v>1037</v>
      </c>
      <c r="K1023">
        <v>2593</v>
      </c>
      <c r="L1023">
        <v>1</v>
      </c>
      <c r="M1023">
        <v>604</v>
      </c>
      <c r="N1023">
        <v>1510</v>
      </c>
      <c r="O1023">
        <v>1</v>
      </c>
      <c r="P1023">
        <v>98</v>
      </c>
      <c r="Q1023">
        <v>206</v>
      </c>
      <c r="R1023">
        <v>1</v>
      </c>
      <c r="S1023">
        <v>3000000</v>
      </c>
      <c r="T1023" t="s">
        <v>2057</v>
      </c>
      <c r="U1023" t="s">
        <v>2058</v>
      </c>
      <c r="V1023" t="s">
        <v>1638</v>
      </c>
      <c r="W1023">
        <v>937.5</v>
      </c>
      <c r="X1023" t="b">
        <v>1</v>
      </c>
    </row>
    <row r="1024" spans="1:24" x14ac:dyDescent="0.25">
      <c r="A1024">
        <v>1023</v>
      </c>
      <c r="B1024" t="s">
        <v>2060</v>
      </c>
      <c r="C1024">
        <v>5</v>
      </c>
      <c r="D1024">
        <v>15</v>
      </c>
      <c r="E1024">
        <v>50</v>
      </c>
      <c r="F1024">
        <v>3</v>
      </c>
      <c r="G1024" t="s">
        <v>112</v>
      </c>
      <c r="H1024">
        <v>1</v>
      </c>
      <c r="I1024" t="s">
        <v>112</v>
      </c>
      <c r="J1024">
        <v>290</v>
      </c>
      <c r="K1024">
        <v>1305</v>
      </c>
      <c r="L1024">
        <v>1</v>
      </c>
      <c r="M1024">
        <v>133</v>
      </c>
      <c r="N1024">
        <v>599</v>
      </c>
      <c r="O1024">
        <v>1</v>
      </c>
      <c r="P1024">
        <v>97</v>
      </c>
      <c r="Q1024">
        <v>204</v>
      </c>
      <c r="R1024">
        <v>1</v>
      </c>
      <c r="S1024">
        <v>4000000</v>
      </c>
      <c r="T1024" t="s">
        <v>2061</v>
      </c>
      <c r="U1024" t="s">
        <v>2062</v>
      </c>
      <c r="W1024">
        <v>750</v>
      </c>
      <c r="X1024" t="b">
        <v>1</v>
      </c>
    </row>
    <row r="1025" spans="1:24" x14ac:dyDescent="0.25">
      <c r="A1025">
        <v>1024</v>
      </c>
      <c r="B1025" t="s">
        <v>2063</v>
      </c>
      <c r="C1025">
        <v>6</v>
      </c>
      <c r="D1025">
        <v>25</v>
      </c>
      <c r="E1025">
        <v>99</v>
      </c>
      <c r="F1025">
        <v>3</v>
      </c>
      <c r="G1025">
        <v>1</v>
      </c>
      <c r="H1025">
        <v>1</v>
      </c>
      <c r="I1025">
        <v>5</v>
      </c>
      <c r="J1025">
        <v>1044</v>
      </c>
      <c r="K1025">
        <v>2610</v>
      </c>
      <c r="L1025">
        <v>1</v>
      </c>
      <c r="M1025">
        <v>539</v>
      </c>
      <c r="N1025">
        <v>1348</v>
      </c>
      <c r="O1025">
        <v>1</v>
      </c>
      <c r="P1025">
        <v>184</v>
      </c>
      <c r="Q1025">
        <v>386</v>
      </c>
      <c r="R1025">
        <v>1</v>
      </c>
      <c r="S1025">
        <v>4000000</v>
      </c>
      <c r="T1025" t="s">
        <v>2061</v>
      </c>
      <c r="U1025" t="s">
        <v>2062</v>
      </c>
      <c r="V1025" t="s">
        <v>1639</v>
      </c>
      <c r="W1025">
        <v>1162.5</v>
      </c>
      <c r="X1025" t="b">
        <v>1</v>
      </c>
    </row>
    <row r="1026" spans="1:24" x14ac:dyDescent="0.25">
      <c r="A1026">
        <v>1025</v>
      </c>
      <c r="B1026" t="s">
        <v>2064</v>
      </c>
      <c r="C1026">
        <v>4</v>
      </c>
      <c r="D1026">
        <v>10</v>
      </c>
      <c r="E1026">
        <v>50</v>
      </c>
      <c r="F1026">
        <v>0</v>
      </c>
      <c r="G1026" t="s">
        <v>112</v>
      </c>
      <c r="H1026">
        <v>6</v>
      </c>
      <c r="I1026" t="s">
        <v>112</v>
      </c>
      <c r="J1026">
        <v>244</v>
      </c>
      <c r="K1026">
        <v>1098</v>
      </c>
      <c r="L1026">
        <v>1</v>
      </c>
      <c r="M1026">
        <v>168</v>
      </c>
      <c r="N1026">
        <v>756</v>
      </c>
      <c r="O1026">
        <v>1</v>
      </c>
      <c r="P1026">
        <v>38</v>
      </c>
      <c r="Q1026">
        <v>80</v>
      </c>
      <c r="R1026">
        <v>1</v>
      </c>
      <c r="S1026">
        <v>3000000</v>
      </c>
      <c r="T1026" t="s">
        <v>2065</v>
      </c>
      <c r="U1026" t="s">
        <v>2066</v>
      </c>
      <c r="W1026">
        <v>525</v>
      </c>
      <c r="X1026" t="b">
        <v>1</v>
      </c>
    </row>
    <row r="1027" spans="1:24" x14ac:dyDescent="0.25">
      <c r="A1027">
        <v>1026</v>
      </c>
      <c r="B1027" t="s">
        <v>2067</v>
      </c>
      <c r="C1027">
        <v>5</v>
      </c>
      <c r="D1027">
        <v>20</v>
      </c>
      <c r="E1027">
        <v>99</v>
      </c>
      <c r="F1027">
        <v>0</v>
      </c>
      <c r="G1027">
        <v>2</v>
      </c>
      <c r="H1027">
        <v>6</v>
      </c>
      <c r="I1027" t="s">
        <v>112</v>
      </c>
      <c r="J1027">
        <v>878</v>
      </c>
      <c r="K1027">
        <v>2195</v>
      </c>
      <c r="L1027">
        <v>1</v>
      </c>
      <c r="M1027">
        <v>680</v>
      </c>
      <c r="N1027">
        <v>1700</v>
      </c>
      <c r="O1027">
        <v>1</v>
      </c>
      <c r="P1027">
        <v>72</v>
      </c>
      <c r="Q1027">
        <v>151</v>
      </c>
      <c r="R1027">
        <v>1</v>
      </c>
      <c r="S1027">
        <v>3000000</v>
      </c>
      <c r="T1027" t="s">
        <v>2065</v>
      </c>
      <c r="U1027" t="s">
        <v>2066</v>
      </c>
      <c r="V1027" t="s">
        <v>1640</v>
      </c>
      <c r="W1027">
        <v>937.5</v>
      </c>
      <c r="X1027" t="b">
        <v>1</v>
      </c>
    </row>
    <row r="1028" spans="1:24" x14ac:dyDescent="0.25">
      <c r="A1028">
        <v>1027</v>
      </c>
      <c r="B1028" t="s">
        <v>2068</v>
      </c>
      <c r="C1028">
        <v>4</v>
      </c>
      <c r="D1028">
        <v>10</v>
      </c>
      <c r="E1028">
        <v>50</v>
      </c>
      <c r="F1028">
        <v>4</v>
      </c>
      <c r="G1028" t="s">
        <v>112</v>
      </c>
      <c r="H1028">
        <v>7</v>
      </c>
      <c r="I1028" t="s">
        <v>112</v>
      </c>
      <c r="J1028">
        <v>250</v>
      </c>
      <c r="K1028">
        <v>1125</v>
      </c>
      <c r="L1028">
        <v>1</v>
      </c>
      <c r="M1028">
        <v>151</v>
      </c>
      <c r="N1028">
        <v>680</v>
      </c>
      <c r="O1028">
        <v>1</v>
      </c>
      <c r="P1028">
        <v>75</v>
      </c>
      <c r="Q1028">
        <v>158</v>
      </c>
      <c r="R1028">
        <v>1</v>
      </c>
      <c r="S1028">
        <v>3000000</v>
      </c>
      <c r="T1028" t="s">
        <v>2069</v>
      </c>
      <c r="U1028" t="s">
        <v>2070</v>
      </c>
      <c r="W1028">
        <v>525</v>
      </c>
      <c r="X1028" t="b">
        <v>1</v>
      </c>
    </row>
    <row r="1029" spans="1:24" x14ac:dyDescent="0.25">
      <c r="A1029">
        <v>1028</v>
      </c>
      <c r="B1029" t="s">
        <v>2071</v>
      </c>
      <c r="C1029">
        <v>5</v>
      </c>
      <c r="D1029">
        <v>20</v>
      </c>
      <c r="E1029">
        <v>99</v>
      </c>
      <c r="F1029">
        <v>4</v>
      </c>
      <c r="G1029">
        <v>0</v>
      </c>
      <c r="H1029">
        <v>7</v>
      </c>
      <c r="I1029" t="s">
        <v>112</v>
      </c>
      <c r="J1029">
        <v>900</v>
      </c>
      <c r="K1029">
        <v>2250</v>
      </c>
      <c r="L1029">
        <v>1</v>
      </c>
      <c r="M1029">
        <v>612</v>
      </c>
      <c r="N1029">
        <v>1530</v>
      </c>
      <c r="O1029">
        <v>1</v>
      </c>
      <c r="P1029">
        <v>142</v>
      </c>
      <c r="Q1029">
        <v>298</v>
      </c>
      <c r="R1029">
        <v>1</v>
      </c>
      <c r="S1029">
        <v>3000000</v>
      </c>
      <c r="T1029" t="s">
        <v>2069</v>
      </c>
      <c r="U1029" t="s">
        <v>2070</v>
      </c>
      <c r="V1029" t="s">
        <v>1641</v>
      </c>
      <c r="W1029">
        <v>937.5</v>
      </c>
      <c r="X1029" t="b">
        <v>1</v>
      </c>
    </row>
    <row r="1030" spans="1:24" x14ac:dyDescent="0.25">
      <c r="A1030">
        <v>1029</v>
      </c>
      <c r="B1030" t="s">
        <v>2072</v>
      </c>
      <c r="C1030">
        <v>5</v>
      </c>
      <c r="D1030">
        <v>15</v>
      </c>
      <c r="E1030">
        <v>50</v>
      </c>
      <c r="F1030">
        <v>3</v>
      </c>
      <c r="G1030">
        <v>4</v>
      </c>
      <c r="H1030">
        <v>5</v>
      </c>
      <c r="I1030" t="s">
        <v>112</v>
      </c>
      <c r="J1030">
        <v>369</v>
      </c>
      <c r="K1030">
        <v>1661</v>
      </c>
      <c r="L1030">
        <v>1</v>
      </c>
      <c r="M1030">
        <v>175</v>
      </c>
      <c r="N1030">
        <v>788</v>
      </c>
      <c r="O1030">
        <v>1</v>
      </c>
      <c r="P1030">
        <v>10</v>
      </c>
      <c r="Q1030">
        <v>21</v>
      </c>
      <c r="R1030">
        <v>1</v>
      </c>
      <c r="S1030">
        <v>4000000</v>
      </c>
      <c r="T1030" t="s">
        <v>2073</v>
      </c>
      <c r="U1030" t="s">
        <v>2074</v>
      </c>
      <c r="W1030">
        <v>750</v>
      </c>
      <c r="X1030" t="b">
        <v>1</v>
      </c>
    </row>
    <row r="1031" spans="1:24" x14ac:dyDescent="0.25">
      <c r="A1031">
        <v>1030</v>
      </c>
      <c r="B1031" t="s">
        <v>2075</v>
      </c>
      <c r="C1031">
        <v>6</v>
      </c>
      <c r="D1031">
        <v>25</v>
      </c>
      <c r="E1031">
        <v>99</v>
      </c>
      <c r="F1031">
        <v>3</v>
      </c>
      <c r="G1031">
        <v>4</v>
      </c>
      <c r="H1031">
        <v>5</v>
      </c>
      <c r="I1031" t="s">
        <v>112</v>
      </c>
      <c r="J1031">
        <v>1329</v>
      </c>
      <c r="K1031">
        <v>3323</v>
      </c>
      <c r="L1031">
        <v>1</v>
      </c>
      <c r="M1031">
        <v>709</v>
      </c>
      <c r="N1031">
        <v>1573</v>
      </c>
      <c r="O1031">
        <v>1</v>
      </c>
      <c r="P1031">
        <v>19</v>
      </c>
      <c r="Q1031">
        <v>40</v>
      </c>
      <c r="R1031">
        <v>1</v>
      </c>
      <c r="S1031">
        <v>5000000</v>
      </c>
      <c r="T1031" t="s">
        <v>2073</v>
      </c>
      <c r="U1031" t="s">
        <v>2074</v>
      </c>
      <c r="V1031" t="s">
        <v>1642</v>
      </c>
      <c r="W1031">
        <v>1162.5</v>
      </c>
      <c r="X1031" t="b">
        <v>1</v>
      </c>
    </row>
    <row r="1032" spans="1:24" x14ac:dyDescent="0.25">
      <c r="A1032">
        <v>1031</v>
      </c>
      <c r="B1032" t="s">
        <v>2076</v>
      </c>
      <c r="C1032">
        <v>4</v>
      </c>
      <c r="D1032">
        <v>10</v>
      </c>
      <c r="E1032">
        <v>50</v>
      </c>
      <c r="F1032">
        <v>4</v>
      </c>
      <c r="G1032" t="s">
        <v>112</v>
      </c>
      <c r="H1032">
        <v>3</v>
      </c>
      <c r="I1032" t="s">
        <v>112</v>
      </c>
      <c r="J1032">
        <v>234</v>
      </c>
      <c r="K1032">
        <v>1053</v>
      </c>
      <c r="L1032">
        <v>1</v>
      </c>
      <c r="M1032">
        <v>105</v>
      </c>
      <c r="N1032">
        <v>473</v>
      </c>
      <c r="O1032">
        <v>1</v>
      </c>
      <c r="P1032">
        <v>110</v>
      </c>
      <c r="Q1032">
        <v>231</v>
      </c>
      <c r="R1032">
        <v>1</v>
      </c>
      <c r="S1032">
        <v>4000000</v>
      </c>
      <c r="T1032" t="s">
        <v>2077</v>
      </c>
      <c r="U1032" t="s">
        <v>2078</v>
      </c>
      <c r="W1032">
        <v>525</v>
      </c>
      <c r="X1032" t="b">
        <v>1</v>
      </c>
    </row>
    <row r="1033" spans="1:24" x14ac:dyDescent="0.25">
      <c r="A1033">
        <v>1032</v>
      </c>
      <c r="B1033" t="s">
        <v>2079</v>
      </c>
      <c r="C1033">
        <v>5</v>
      </c>
      <c r="D1033">
        <v>20</v>
      </c>
      <c r="E1033">
        <v>99</v>
      </c>
      <c r="F1033">
        <v>4</v>
      </c>
      <c r="G1033">
        <v>4</v>
      </c>
      <c r="H1033">
        <v>3</v>
      </c>
      <c r="I1033" t="s">
        <v>112</v>
      </c>
      <c r="J1033">
        <v>842</v>
      </c>
      <c r="K1033">
        <v>2105</v>
      </c>
      <c r="L1033">
        <v>1</v>
      </c>
      <c r="M1033">
        <v>426</v>
      </c>
      <c r="N1033">
        <v>1065</v>
      </c>
      <c r="O1033">
        <v>1</v>
      </c>
      <c r="P1033">
        <v>208</v>
      </c>
      <c r="Q1033">
        <v>437</v>
      </c>
      <c r="R1033">
        <v>1</v>
      </c>
      <c r="S1033">
        <v>4000000</v>
      </c>
      <c r="T1033" t="s">
        <v>2077</v>
      </c>
      <c r="U1033" t="s">
        <v>2078</v>
      </c>
      <c r="V1033" t="s">
        <v>1643</v>
      </c>
      <c r="W1033">
        <v>937.5</v>
      </c>
      <c r="X1033" t="b">
        <v>1</v>
      </c>
    </row>
    <row r="1034" spans="1:24" x14ac:dyDescent="0.25">
      <c r="A1034">
        <v>1033</v>
      </c>
      <c r="B1034" t="s">
        <v>2080</v>
      </c>
      <c r="C1034">
        <v>4</v>
      </c>
      <c r="D1034">
        <v>10</v>
      </c>
      <c r="E1034">
        <v>25</v>
      </c>
      <c r="F1034">
        <v>3</v>
      </c>
      <c r="G1034" t="s">
        <v>112</v>
      </c>
      <c r="H1034">
        <v>1</v>
      </c>
      <c r="I1034" t="s">
        <v>112</v>
      </c>
      <c r="J1034">
        <v>224</v>
      </c>
      <c r="K1034">
        <v>1008</v>
      </c>
      <c r="L1034">
        <v>1</v>
      </c>
      <c r="M1034">
        <v>111</v>
      </c>
      <c r="N1034">
        <v>500</v>
      </c>
      <c r="O1034">
        <v>1</v>
      </c>
      <c r="P1034">
        <v>55</v>
      </c>
      <c r="Q1034">
        <v>116</v>
      </c>
      <c r="R1034">
        <v>1</v>
      </c>
      <c r="S1034">
        <v>1500000</v>
      </c>
      <c r="T1034" t="s">
        <v>2081</v>
      </c>
      <c r="U1034" t="s">
        <v>112</v>
      </c>
      <c r="W1034">
        <v>525</v>
      </c>
      <c r="X1034" t="b">
        <v>1</v>
      </c>
    </row>
    <row r="1035" spans="1:24" x14ac:dyDescent="0.25">
      <c r="A1035">
        <v>1034</v>
      </c>
      <c r="B1035" t="s">
        <v>2082</v>
      </c>
      <c r="C1035">
        <v>5</v>
      </c>
      <c r="D1035">
        <v>15</v>
      </c>
      <c r="E1035">
        <v>99</v>
      </c>
      <c r="F1035">
        <v>3</v>
      </c>
      <c r="G1035">
        <v>2</v>
      </c>
      <c r="H1035">
        <v>1</v>
      </c>
      <c r="I1035" t="s">
        <v>112</v>
      </c>
      <c r="J1035">
        <v>806</v>
      </c>
      <c r="K1035">
        <v>2015</v>
      </c>
      <c r="L1035">
        <v>1</v>
      </c>
      <c r="M1035">
        <v>450</v>
      </c>
      <c r="N1035">
        <v>1125</v>
      </c>
      <c r="O1035">
        <v>1</v>
      </c>
      <c r="P1035">
        <v>104</v>
      </c>
      <c r="Q1035">
        <v>218</v>
      </c>
      <c r="R1035">
        <v>1</v>
      </c>
      <c r="S1035">
        <v>3000000</v>
      </c>
      <c r="T1035" t="s">
        <v>2081</v>
      </c>
      <c r="U1035" t="s">
        <v>772</v>
      </c>
      <c r="V1035" t="s">
        <v>1644</v>
      </c>
      <c r="W1035">
        <v>750</v>
      </c>
      <c r="X1035" t="b">
        <v>1</v>
      </c>
    </row>
    <row r="1036" spans="1:24" x14ac:dyDescent="0.25">
      <c r="A1036">
        <v>1035</v>
      </c>
      <c r="B1036" t="s">
        <v>2083</v>
      </c>
      <c r="C1036">
        <v>4</v>
      </c>
      <c r="D1036">
        <v>10</v>
      </c>
      <c r="E1036">
        <v>25</v>
      </c>
      <c r="F1036">
        <v>0</v>
      </c>
      <c r="G1036" t="s">
        <v>112</v>
      </c>
      <c r="H1036">
        <v>2</v>
      </c>
      <c r="I1036" t="s">
        <v>112</v>
      </c>
      <c r="J1036">
        <v>357</v>
      </c>
      <c r="K1036">
        <v>1607</v>
      </c>
      <c r="L1036">
        <v>1</v>
      </c>
      <c r="M1036">
        <v>101</v>
      </c>
      <c r="N1036">
        <v>455</v>
      </c>
      <c r="O1036">
        <v>1</v>
      </c>
      <c r="P1036">
        <v>0</v>
      </c>
      <c r="Q1036">
        <v>0</v>
      </c>
      <c r="R1036">
        <v>1</v>
      </c>
      <c r="S1036">
        <v>1500000</v>
      </c>
      <c r="T1036" t="s">
        <v>2084</v>
      </c>
      <c r="U1036" t="s">
        <v>112</v>
      </c>
      <c r="W1036">
        <v>525</v>
      </c>
      <c r="X1036" t="b">
        <v>1</v>
      </c>
    </row>
    <row r="1037" spans="1:24" x14ac:dyDescent="0.25">
      <c r="A1037">
        <v>1036</v>
      </c>
      <c r="B1037" t="s">
        <v>2085</v>
      </c>
      <c r="C1037">
        <v>5</v>
      </c>
      <c r="D1037">
        <v>15</v>
      </c>
      <c r="E1037">
        <v>99</v>
      </c>
      <c r="F1037">
        <v>0</v>
      </c>
      <c r="G1037">
        <v>3</v>
      </c>
      <c r="H1037">
        <v>2</v>
      </c>
      <c r="I1037" t="s">
        <v>112</v>
      </c>
      <c r="J1037">
        <v>1286</v>
      </c>
      <c r="K1037">
        <v>3015</v>
      </c>
      <c r="L1037">
        <v>1</v>
      </c>
      <c r="M1037">
        <v>410</v>
      </c>
      <c r="N1037">
        <v>1025</v>
      </c>
      <c r="O1037">
        <v>1</v>
      </c>
      <c r="P1037">
        <v>0</v>
      </c>
      <c r="Q1037">
        <v>0</v>
      </c>
      <c r="R1037">
        <v>1</v>
      </c>
      <c r="S1037">
        <v>3000000</v>
      </c>
      <c r="T1037" t="s">
        <v>2084</v>
      </c>
      <c r="U1037" t="s">
        <v>1068</v>
      </c>
      <c r="V1037" t="s">
        <v>1257</v>
      </c>
      <c r="W1037">
        <v>750</v>
      </c>
      <c r="X1037" t="b">
        <v>1</v>
      </c>
    </row>
    <row r="1038" spans="1:24" x14ac:dyDescent="0.25">
      <c r="A1038">
        <v>1037</v>
      </c>
      <c r="B1038" t="s">
        <v>2086</v>
      </c>
      <c r="C1038">
        <v>3</v>
      </c>
      <c r="D1038">
        <v>6</v>
      </c>
      <c r="E1038">
        <v>25</v>
      </c>
      <c r="F1038">
        <v>2</v>
      </c>
      <c r="G1038" t="s">
        <v>112</v>
      </c>
      <c r="H1038">
        <v>1</v>
      </c>
      <c r="I1038" t="s">
        <v>112</v>
      </c>
      <c r="J1038">
        <v>172</v>
      </c>
      <c r="K1038">
        <v>774</v>
      </c>
      <c r="L1038">
        <v>1</v>
      </c>
      <c r="M1038">
        <v>101</v>
      </c>
      <c r="N1038">
        <v>455</v>
      </c>
      <c r="O1038">
        <v>1</v>
      </c>
      <c r="P1038">
        <v>38</v>
      </c>
      <c r="Q1038">
        <v>80</v>
      </c>
      <c r="R1038">
        <v>1</v>
      </c>
      <c r="S1038">
        <v>1500000</v>
      </c>
      <c r="T1038" t="s">
        <v>2087</v>
      </c>
      <c r="U1038" t="s">
        <v>112</v>
      </c>
      <c r="W1038">
        <v>337.5</v>
      </c>
      <c r="X1038" t="b">
        <v>1</v>
      </c>
    </row>
    <row r="1039" spans="1:24" x14ac:dyDescent="0.25">
      <c r="A1039">
        <v>1038</v>
      </c>
      <c r="B1039" t="s">
        <v>2088</v>
      </c>
      <c r="C1039">
        <v>4</v>
      </c>
      <c r="D1039">
        <v>11</v>
      </c>
      <c r="E1039">
        <v>70</v>
      </c>
      <c r="F1039">
        <v>2</v>
      </c>
      <c r="G1039" t="s">
        <v>112</v>
      </c>
      <c r="H1039">
        <v>1</v>
      </c>
      <c r="I1039" t="s">
        <v>112</v>
      </c>
      <c r="J1039">
        <v>619</v>
      </c>
      <c r="K1039">
        <v>1548</v>
      </c>
      <c r="L1039">
        <v>1</v>
      </c>
      <c r="M1039">
        <v>410</v>
      </c>
      <c r="N1039">
        <v>1025</v>
      </c>
      <c r="O1039">
        <v>1</v>
      </c>
      <c r="P1039">
        <v>72</v>
      </c>
      <c r="Q1039">
        <v>151</v>
      </c>
      <c r="R1039">
        <v>1</v>
      </c>
      <c r="S1039">
        <v>3000000</v>
      </c>
      <c r="T1039" t="s">
        <v>2087</v>
      </c>
      <c r="U1039" t="s">
        <v>1076</v>
      </c>
      <c r="V1039" t="s">
        <v>1645</v>
      </c>
      <c r="W1039">
        <v>562.5</v>
      </c>
      <c r="X1039" t="b">
        <v>1</v>
      </c>
    </row>
    <row r="1040" spans="1:24" x14ac:dyDescent="0.25">
      <c r="A1040">
        <v>1039</v>
      </c>
      <c r="B1040" t="s">
        <v>2089</v>
      </c>
      <c r="C1040">
        <v>3</v>
      </c>
      <c r="D1040">
        <v>6</v>
      </c>
      <c r="E1040">
        <v>25</v>
      </c>
      <c r="F1040">
        <v>1</v>
      </c>
      <c r="G1040" t="s">
        <v>112</v>
      </c>
      <c r="H1040">
        <v>6</v>
      </c>
      <c r="I1040" t="s">
        <v>112</v>
      </c>
      <c r="J1040">
        <v>132</v>
      </c>
      <c r="K1040">
        <v>594</v>
      </c>
      <c r="L1040">
        <v>1</v>
      </c>
      <c r="M1040">
        <v>128</v>
      </c>
      <c r="N1040">
        <v>576</v>
      </c>
      <c r="O1040">
        <v>1</v>
      </c>
      <c r="P1040">
        <v>24</v>
      </c>
      <c r="Q1040">
        <v>50</v>
      </c>
      <c r="R1040">
        <v>1</v>
      </c>
      <c r="S1040">
        <v>1500000</v>
      </c>
      <c r="T1040" t="s">
        <v>2090</v>
      </c>
      <c r="U1040" t="s">
        <v>112</v>
      </c>
      <c r="W1040">
        <v>337.5</v>
      </c>
      <c r="X1040" t="b">
        <v>1</v>
      </c>
    </row>
    <row r="1041" spans="1:26" x14ac:dyDescent="0.25">
      <c r="A1041">
        <v>1040</v>
      </c>
      <c r="B1041" t="s">
        <v>2091</v>
      </c>
      <c r="C1041">
        <v>4</v>
      </c>
      <c r="D1041">
        <v>11</v>
      </c>
      <c r="E1041">
        <v>70</v>
      </c>
      <c r="F1041">
        <v>1</v>
      </c>
      <c r="G1041" t="s">
        <v>112</v>
      </c>
      <c r="H1041">
        <v>6</v>
      </c>
      <c r="I1041" t="s">
        <v>112</v>
      </c>
      <c r="J1041">
        <v>475</v>
      </c>
      <c r="K1041">
        <v>1188</v>
      </c>
      <c r="L1041">
        <v>1</v>
      </c>
      <c r="M1041">
        <v>518</v>
      </c>
      <c r="N1041">
        <v>1295</v>
      </c>
      <c r="O1041">
        <v>1</v>
      </c>
      <c r="P1041">
        <v>45</v>
      </c>
      <c r="Q1041">
        <v>95</v>
      </c>
      <c r="R1041">
        <v>1</v>
      </c>
      <c r="S1041">
        <v>3000000</v>
      </c>
      <c r="T1041" t="s">
        <v>2090</v>
      </c>
      <c r="U1041" t="s">
        <v>1162</v>
      </c>
      <c r="V1041" t="s">
        <v>1646</v>
      </c>
      <c r="W1041">
        <v>562.5</v>
      </c>
      <c r="X1041" t="b">
        <v>1</v>
      </c>
    </row>
    <row r="1042" spans="1:26" x14ac:dyDescent="0.25">
      <c r="A1042">
        <v>1041</v>
      </c>
      <c r="B1042" t="s">
        <v>2092</v>
      </c>
      <c r="C1042">
        <v>3</v>
      </c>
      <c r="D1042">
        <v>6</v>
      </c>
      <c r="E1042">
        <v>25</v>
      </c>
      <c r="F1042">
        <v>1</v>
      </c>
      <c r="G1042" t="s">
        <v>112</v>
      </c>
      <c r="H1042">
        <v>2</v>
      </c>
      <c r="I1042" t="s">
        <v>112</v>
      </c>
      <c r="J1042">
        <v>208</v>
      </c>
      <c r="K1042">
        <v>936</v>
      </c>
      <c r="L1042">
        <v>1</v>
      </c>
      <c r="M1042">
        <v>100</v>
      </c>
      <c r="N1042">
        <v>450</v>
      </c>
      <c r="O1042">
        <v>1</v>
      </c>
      <c r="P1042">
        <v>15</v>
      </c>
      <c r="Q1042">
        <v>32</v>
      </c>
      <c r="R1042">
        <v>1</v>
      </c>
      <c r="S1042">
        <v>1500000</v>
      </c>
      <c r="T1042" t="s">
        <v>1647</v>
      </c>
      <c r="U1042" t="s">
        <v>112</v>
      </c>
      <c r="W1042">
        <v>337.5</v>
      </c>
      <c r="X1042" t="b">
        <v>1</v>
      </c>
    </row>
    <row r="1043" spans="1:26" x14ac:dyDescent="0.25">
      <c r="A1043">
        <v>1042</v>
      </c>
      <c r="B1043" t="s">
        <v>2093</v>
      </c>
      <c r="C1043">
        <v>4</v>
      </c>
      <c r="D1043">
        <v>11</v>
      </c>
      <c r="E1043">
        <v>70</v>
      </c>
      <c r="F1043">
        <v>1</v>
      </c>
      <c r="G1043" t="s">
        <v>112</v>
      </c>
      <c r="H1043">
        <v>2</v>
      </c>
      <c r="I1043" t="s">
        <v>112</v>
      </c>
      <c r="J1043">
        <v>749</v>
      </c>
      <c r="K1043">
        <v>1873</v>
      </c>
      <c r="L1043">
        <v>1</v>
      </c>
      <c r="M1043">
        <v>405</v>
      </c>
      <c r="N1043">
        <v>1013</v>
      </c>
      <c r="O1043">
        <v>1</v>
      </c>
      <c r="P1043">
        <v>29</v>
      </c>
      <c r="Q1043">
        <v>61</v>
      </c>
      <c r="R1043">
        <v>1</v>
      </c>
      <c r="S1043">
        <v>3000000</v>
      </c>
      <c r="T1043" t="s">
        <v>1647</v>
      </c>
      <c r="U1043" t="s">
        <v>798</v>
      </c>
      <c r="V1043" t="s">
        <v>1330</v>
      </c>
      <c r="W1043">
        <v>562.5</v>
      </c>
      <c r="X1043" t="b">
        <v>1</v>
      </c>
    </row>
    <row r="1044" spans="1:26" x14ac:dyDescent="0.25">
      <c r="A1044">
        <v>1043</v>
      </c>
      <c r="B1044" t="s">
        <v>2094</v>
      </c>
      <c r="C1044">
        <v>3</v>
      </c>
      <c r="D1044">
        <v>6</v>
      </c>
      <c r="E1044">
        <v>25</v>
      </c>
      <c r="F1044">
        <v>3</v>
      </c>
      <c r="G1044" t="s">
        <v>112</v>
      </c>
      <c r="H1044">
        <v>3</v>
      </c>
      <c r="I1044" t="s">
        <v>112</v>
      </c>
      <c r="J1044">
        <v>144</v>
      </c>
      <c r="K1044">
        <v>648</v>
      </c>
      <c r="L1044">
        <v>1</v>
      </c>
      <c r="M1044">
        <v>78</v>
      </c>
      <c r="N1044">
        <v>351</v>
      </c>
      <c r="O1044">
        <v>1</v>
      </c>
      <c r="P1044">
        <v>92</v>
      </c>
      <c r="Q1044">
        <v>193</v>
      </c>
      <c r="R1044">
        <v>1</v>
      </c>
      <c r="S1044">
        <v>1500000</v>
      </c>
      <c r="T1044" t="s">
        <v>2095</v>
      </c>
      <c r="U1044" t="s">
        <v>112</v>
      </c>
      <c r="W1044">
        <v>337.5</v>
      </c>
      <c r="X1044" t="b">
        <v>1</v>
      </c>
    </row>
    <row r="1045" spans="1:26" x14ac:dyDescent="0.25">
      <c r="A1045">
        <v>1044</v>
      </c>
      <c r="B1045" t="s">
        <v>2096</v>
      </c>
      <c r="C1045">
        <v>4</v>
      </c>
      <c r="D1045">
        <v>11</v>
      </c>
      <c r="E1045">
        <v>70</v>
      </c>
      <c r="F1045">
        <v>3</v>
      </c>
      <c r="G1045" t="s">
        <v>112</v>
      </c>
      <c r="H1045">
        <v>3</v>
      </c>
      <c r="I1045" t="s">
        <v>112</v>
      </c>
      <c r="J1045">
        <v>518</v>
      </c>
      <c r="K1045">
        <v>1295</v>
      </c>
      <c r="L1045">
        <v>1</v>
      </c>
      <c r="M1045">
        <v>316</v>
      </c>
      <c r="N1045">
        <v>790</v>
      </c>
      <c r="O1045">
        <v>1</v>
      </c>
      <c r="P1045">
        <v>174</v>
      </c>
      <c r="Q1045">
        <v>365</v>
      </c>
      <c r="R1045">
        <v>1</v>
      </c>
      <c r="S1045">
        <v>3000000</v>
      </c>
      <c r="T1045" t="s">
        <v>2095</v>
      </c>
      <c r="U1045" t="s">
        <v>806</v>
      </c>
      <c r="V1045" t="s">
        <v>1648</v>
      </c>
      <c r="W1045">
        <v>562.5</v>
      </c>
      <c r="X1045" t="b">
        <v>1</v>
      </c>
    </row>
    <row r="1046" spans="1:26" x14ac:dyDescent="0.25">
      <c r="A1046">
        <v>1045</v>
      </c>
      <c r="B1046" t="s">
        <v>2097</v>
      </c>
      <c r="C1046">
        <v>3</v>
      </c>
      <c r="D1046">
        <v>6</v>
      </c>
      <c r="E1046">
        <v>25</v>
      </c>
      <c r="F1046">
        <v>4</v>
      </c>
      <c r="G1046" t="s">
        <v>112</v>
      </c>
      <c r="H1046">
        <v>1</v>
      </c>
      <c r="I1046" t="s">
        <v>112</v>
      </c>
      <c r="J1046">
        <v>161</v>
      </c>
      <c r="K1046">
        <v>725</v>
      </c>
      <c r="L1046">
        <v>1</v>
      </c>
      <c r="M1046">
        <v>102</v>
      </c>
      <c r="N1046">
        <v>459</v>
      </c>
      <c r="O1046">
        <v>1</v>
      </c>
      <c r="P1046">
        <v>44</v>
      </c>
      <c r="Q1046">
        <v>92</v>
      </c>
      <c r="R1046">
        <v>1</v>
      </c>
      <c r="S1046">
        <v>1500000</v>
      </c>
      <c r="T1046" t="s">
        <v>2098</v>
      </c>
      <c r="U1046" t="s">
        <v>112</v>
      </c>
      <c r="W1046">
        <v>337.5</v>
      </c>
      <c r="X1046" t="b">
        <v>1</v>
      </c>
    </row>
    <row r="1047" spans="1:26" x14ac:dyDescent="0.25">
      <c r="A1047">
        <v>1046</v>
      </c>
      <c r="B1047" t="s">
        <v>2099</v>
      </c>
      <c r="C1047">
        <v>4</v>
      </c>
      <c r="D1047">
        <v>11</v>
      </c>
      <c r="E1047">
        <v>70</v>
      </c>
      <c r="F1047">
        <v>4</v>
      </c>
      <c r="G1047" t="s">
        <v>112</v>
      </c>
      <c r="H1047">
        <v>1</v>
      </c>
      <c r="I1047" t="s">
        <v>112</v>
      </c>
      <c r="J1047">
        <v>580</v>
      </c>
      <c r="K1047">
        <v>1450</v>
      </c>
      <c r="L1047">
        <v>1</v>
      </c>
      <c r="M1047">
        <v>413</v>
      </c>
      <c r="N1047">
        <v>1033</v>
      </c>
      <c r="O1047">
        <v>1</v>
      </c>
      <c r="P1047">
        <v>83</v>
      </c>
      <c r="Q1047">
        <v>174</v>
      </c>
      <c r="R1047">
        <v>1</v>
      </c>
      <c r="S1047">
        <v>3000000</v>
      </c>
      <c r="T1047" t="s">
        <v>2098</v>
      </c>
      <c r="U1047" t="s">
        <v>1084</v>
      </c>
      <c r="V1047" t="s">
        <v>1649</v>
      </c>
      <c r="W1047">
        <v>562.5</v>
      </c>
      <c r="X1047" t="b">
        <v>1</v>
      </c>
    </row>
    <row r="1048" spans="1:26" x14ac:dyDescent="0.25">
      <c r="A1048">
        <v>1047</v>
      </c>
      <c r="B1048" t="s">
        <v>2100</v>
      </c>
      <c r="C1048">
        <v>3</v>
      </c>
      <c r="D1048">
        <v>6</v>
      </c>
      <c r="E1048">
        <v>25</v>
      </c>
      <c r="F1048">
        <v>2</v>
      </c>
      <c r="G1048" t="s">
        <v>112</v>
      </c>
      <c r="H1048">
        <v>6</v>
      </c>
      <c r="I1048" t="s">
        <v>112</v>
      </c>
      <c r="J1048">
        <v>101</v>
      </c>
      <c r="K1048">
        <v>455</v>
      </c>
      <c r="L1048">
        <v>1</v>
      </c>
      <c r="M1048">
        <v>135</v>
      </c>
      <c r="N1048">
        <v>608</v>
      </c>
      <c r="O1048">
        <v>1</v>
      </c>
      <c r="P1048">
        <v>34</v>
      </c>
      <c r="Q1048">
        <v>71</v>
      </c>
      <c r="R1048">
        <v>1</v>
      </c>
      <c r="S1048">
        <v>1500000</v>
      </c>
      <c r="T1048" t="s">
        <v>2101</v>
      </c>
      <c r="U1048" t="s">
        <v>112</v>
      </c>
      <c r="W1048">
        <v>337.5</v>
      </c>
      <c r="X1048" t="b">
        <v>1</v>
      </c>
    </row>
    <row r="1049" spans="1:26" x14ac:dyDescent="0.25">
      <c r="A1049">
        <v>1048</v>
      </c>
      <c r="B1049" t="s">
        <v>2102</v>
      </c>
      <c r="C1049">
        <v>4</v>
      </c>
      <c r="D1049">
        <v>11</v>
      </c>
      <c r="E1049">
        <v>70</v>
      </c>
      <c r="F1049">
        <v>2</v>
      </c>
      <c r="G1049" t="s">
        <v>112</v>
      </c>
      <c r="H1049">
        <v>6</v>
      </c>
      <c r="I1049" t="s">
        <v>112</v>
      </c>
      <c r="J1049">
        <v>364</v>
      </c>
      <c r="K1049">
        <v>910</v>
      </c>
      <c r="L1049">
        <v>1</v>
      </c>
      <c r="M1049">
        <v>547</v>
      </c>
      <c r="N1049">
        <v>1368</v>
      </c>
      <c r="O1049">
        <v>1</v>
      </c>
      <c r="P1049">
        <v>64</v>
      </c>
      <c r="Q1049">
        <v>134</v>
      </c>
      <c r="R1049">
        <v>1</v>
      </c>
      <c r="S1049">
        <v>3000000</v>
      </c>
      <c r="T1049" t="s">
        <v>2101</v>
      </c>
      <c r="U1049" t="s">
        <v>712</v>
      </c>
      <c r="V1049" t="s">
        <v>1650</v>
      </c>
      <c r="W1049">
        <v>562.5</v>
      </c>
      <c r="X1049" t="b">
        <v>1</v>
      </c>
    </row>
    <row r="1050" spans="1:26" x14ac:dyDescent="0.25">
      <c r="A1050">
        <v>1049</v>
      </c>
      <c r="B1050" t="s">
        <v>1817</v>
      </c>
      <c r="C1050">
        <v>3</v>
      </c>
      <c r="D1050">
        <v>5</v>
      </c>
      <c r="E1050">
        <v>25</v>
      </c>
      <c r="F1050">
        <v>0</v>
      </c>
      <c r="G1050" t="s">
        <v>112</v>
      </c>
      <c r="H1050">
        <v>6</v>
      </c>
      <c r="I1050" t="s">
        <v>112</v>
      </c>
      <c r="J1050">
        <v>128</v>
      </c>
      <c r="K1050">
        <v>576</v>
      </c>
      <c r="L1050">
        <v>1</v>
      </c>
      <c r="M1050">
        <v>924</v>
      </c>
      <c r="N1050">
        <v>924</v>
      </c>
      <c r="O1050">
        <v>1</v>
      </c>
      <c r="P1050">
        <v>23</v>
      </c>
      <c r="Q1050">
        <v>48</v>
      </c>
      <c r="R1050">
        <v>1</v>
      </c>
      <c r="S1050">
        <v>1500000</v>
      </c>
      <c r="T1050" t="s">
        <v>1818</v>
      </c>
      <c r="U1050" t="s">
        <v>112</v>
      </c>
      <c r="W1050">
        <v>133</v>
      </c>
      <c r="X1050">
        <v>300</v>
      </c>
      <c r="Y1050">
        <v>599</v>
      </c>
      <c r="Z1050" t="b">
        <v>0</v>
      </c>
    </row>
    <row r="1051" spans="1:26" x14ac:dyDescent="0.25">
      <c r="A1051">
        <v>1050</v>
      </c>
      <c r="B1051" t="s">
        <v>1819</v>
      </c>
      <c r="C1051">
        <v>4</v>
      </c>
      <c r="D1051">
        <v>10</v>
      </c>
      <c r="E1051">
        <v>70</v>
      </c>
      <c r="F1051">
        <v>0</v>
      </c>
      <c r="G1051" t="s">
        <v>112</v>
      </c>
      <c r="H1051">
        <v>6</v>
      </c>
      <c r="I1051" t="s">
        <v>112</v>
      </c>
      <c r="J1051">
        <v>461</v>
      </c>
      <c r="K1051">
        <v>1153</v>
      </c>
      <c r="L1051">
        <v>1</v>
      </c>
      <c r="M1051">
        <v>925</v>
      </c>
      <c r="N1051">
        <v>925</v>
      </c>
      <c r="O1051">
        <v>1</v>
      </c>
      <c r="P1051">
        <v>43</v>
      </c>
      <c r="Q1051">
        <v>90</v>
      </c>
      <c r="R1051">
        <v>1</v>
      </c>
      <c r="S1051">
        <v>3000000</v>
      </c>
      <c r="T1051" t="s">
        <v>1818</v>
      </c>
      <c r="U1051" t="s">
        <v>332</v>
      </c>
      <c r="V1051" t="s">
        <v>1013</v>
      </c>
      <c r="W1051">
        <v>539</v>
      </c>
      <c r="X1051">
        <v>525</v>
      </c>
      <c r="Y1051">
        <v>1348</v>
      </c>
      <c r="Z1051" t="b">
        <v>0</v>
      </c>
    </row>
    <row r="1052" spans="1:26" x14ac:dyDescent="0.25">
      <c r="A1052">
        <v>1051</v>
      </c>
      <c r="B1052" t="s">
        <v>1820</v>
      </c>
      <c r="C1052">
        <v>3</v>
      </c>
      <c r="D1052">
        <v>5</v>
      </c>
      <c r="E1052">
        <v>25</v>
      </c>
      <c r="F1052">
        <v>1</v>
      </c>
      <c r="G1052" t="s">
        <v>112</v>
      </c>
      <c r="H1052">
        <v>2</v>
      </c>
      <c r="I1052" t="s">
        <v>112</v>
      </c>
      <c r="J1052">
        <v>301</v>
      </c>
      <c r="K1052">
        <v>1355</v>
      </c>
      <c r="L1052">
        <v>1</v>
      </c>
      <c r="M1052">
        <v>926</v>
      </c>
      <c r="N1052">
        <v>926</v>
      </c>
      <c r="O1052">
        <v>1</v>
      </c>
      <c r="P1052">
        <v>0</v>
      </c>
      <c r="Q1052">
        <v>0</v>
      </c>
      <c r="R1052">
        <v>1</v>
      </c>
      <c r="S1052">
        <v>1500000</v>
      </c>
      <c r="T1052" t="s">
        <v>1821</v>
      </c>
      <c r="U1052" t="s">
        <v>112</v>
      </c>
      <c r="W1052">
        <v>88</v>
      </c>
      <c r="X1052">
        <v>300</v>
      </c>
      <c r="Y1052">
        <v>396</v>
      </c>
      <c r="Z1052" t="b">
        <v>0</v>
      </c>
    </row>
    <row r="1053" spans="1:26" x14ac:dyDescent="0.25">
      <c r="A1053">
        <v>1052</v>
      </c>
      <c r="B1053" t="s">
        <v>1822</v>
      </c>
      <c r="C1053">
        <v>4</v>
      </c>
      <c r="D1053">
        <v>10</v>
      </c>
      <c r="E1053">
        <v>70</v>
      </c>
      <c r="F1053">
        <v>1</v>
      </c>
      <c r="G1053" t="s">
        <v>112</v>
      </c>
      <c r="H1053">
        <v>2</v>
      </c>
      <c r="I1053" t="s">
        <v>112</v>
      </c>
      <c r="J1053">
        <v>1084</v>
      </c>
      <c r="K1053">
        <v>2710</v>
      </c>
      <c r="L1053">
        <v>1</v>
      </c>
      <c r="M1053">
        <v>927</v>
      </c>
      <c r="N1053">
        <v>927</v>
      </c>
      <c r="O1053">
        <v>1</v>
      </c>
      <c r="P1053">
        <v>0</v>
      </c>
      <c r="Q1053">
        <v>0</v>
      </c>
      <c r="R1053">
        <v>1</v>
      </c>
      <c r="S1053">
        <v>3000000</v>
      </c>
      <c r="T1053" t="s">
        <v>1821</v>
      </c>
      <c r="U1053" t="s">
        <v>1072</v>
      </c>
      <c r="V1053" t="s">
        <v>1823</v>
      </c>
      <c r="W1053">
        <v>356</v>
      </c>
      <c r="X1053">
        <v>525</v>
      </c>
      <c r="Y1053">
        <v>890</v>
      </c>
      <c r="Z1053" t="b">
        <v>0</v>
      </c>
    </row>
    <row r="1054" spans="1:26" x14ac:dyDescent="0.25">
      <c r="A1054">
        <v>1053</v>
      </c>
      <c r="B1054" t="s">
        <v>1824</v>
      </c>
      <c r="C1054">
        <v>3</v>
      </c>
      <c r="D1054">
        <v>5</v>
      </c>
      <c r="E1054">
        <v>25</v>
      </c>
      <c r="F1054">
        <v>2</v>
      </c>
      <c r="G1054" t="s">
        <v>112</v>
      </c>
      <c r="H1054">
        <v>1</v>
      </c>
      <c r="I1054" t="s">
        <v>112</v>
      </c>
      <c r="J1054">
        <v>122</v>
      </c>
      <c r="K1054">
        <v>549</v>
      </c>
      <c r="L1054">
        <v>1</v>
      </c>
      <c r="M1054">
        <v>928</v>
      </c>
      <c r="N1054">
        <v>928</v>
      </c>
      <c r="O1054">
        <v>1</v>
      </c>
      <c r="P1054">
        <v>55</v>
      </c>
      <c r="Q1054">
        <v>116</v>
      </c>
      <c r="R1054">
        <v>1</v>
      </c>
      <c r="S1054">
        <v>1500000</v>
      </c>
      <c r="T1054" t="s">
        <v>1825</v>
      </c>
      <c r="U1054" t="s">
        <v>112</v>
      </c>
      <c r="W1054">
        <v>115</v>
      </c>
      <c r="X1054">
        <v>300</v>
      </c>
      <c r="Y1054">
        <v>518</v>
      </c>
      <c r="Z1054" t="b">
        <v>0</v>
      </c>
    </row>
    <row r="1055" spans="1:26" x14ac:dyDescent="0.25">
      <c r="A1055">
        <v>1054</v>
      </c>
      <c r="B1055" t="s">
        <v>1826</v>
      </c>
      <c r="C1055">
        <v>4</v>
      </c>
      <c r="D1055">
        <v>10</v>
      </c>
      <c r="E1055">
        <v>70</v>
      </c>
      <c r="F1055">
        <v>2</v>
      </c>
      <c r="G1055" t="s">
        <v>112</v>
      </c>
      <c r="H1055">
        <v>1</v>
      </c>
      <c r="I1055" t="s">
        <v>112</v>
      </c>
      <c r="J1055">
        <v>439</v>
      </c>
      <c r="K1055">
        <v>1098</v>
      </c>
      <c r="L1055">
        <v>1</v>
      </c>
      <c r="M1055">
        <v>929</v>
      </c>
      <c r="N1055">
        <v>929</v>
      </c>
      <c r="O1055">
        <v>1</v>
      </c>
      <c r="P1055">
        <v>104</v>
      </c>
      <c r="Q1055">
        <v>218</v>
      </c>
      <c r="R1055">
        <v>1</v>
      </c>
      <c r="S1055">
        <v>3000000</v>
      </c>
      <c r="T1055" t="s">
        <v>1825</v>
      </c>
      <c r="U1055" t="s">
        <v>264</v>
      </c>
      <c r="V1055" t="s">
        <v>1827</v>
      </c>
      <c r="W1055">
        <v>466</v>
      </c>
      <c r="X1055">
        <v>525</v>
      </c>
      <c r="Y1055">
        <v>1165</v>
      </c>
      <c r="Z1055" t="b">
        <v>0</v>
      </c>
    </row>
    <row r="1056" spans="1:26" x14ac:dyDescent="0.25">
      <c r="A1056">
        <v>1055</v>
      </c>
      <c r="B1056" t="s">
        <v>1828</v>
      </c>
      <c r="C1056">
        <v>3</v>
      </c>
      <c r="D1056">
        <v>8</v>
      </c>
      <c r="E1056">
        <v>25</v>
      </c>
      <c r="F1056">
        <v>3</v>
      </c>
      <c r="G1056" t="s">
        <v>112</v>
      </c>
      <c r="H1056">
        <v>2</v>
      </c>
      <c r="I1056" t="s">
        <v>112</v>
      </c>
      <c r="J1056">
        <v>228</v>
      </c>
      <c r="K1056">
        <v>1126</v>
      </c>
      <c r="L1056">
        <v>1</v>
      </c>
      <c r="M1056">
        <v>930</v>
      </c>
      <c r="N1056">
        <v>930</v>
      </c>
      <c r="O1056">
        <v>1</v>
      </c>
      <c r="P1056">
        <v>6</v>
      </c>
      <c r="Q1056">
        <v>13</v>
      </c>
      <c r="R1056">
        <v>1</v>
      </c>
      <c r="S1056">
        <v>1500000</v>
      </c>
      <c r="T1056" t="s">
        <v>1829</v>
      </c>
      <c r="U1056" t="s">
        <v>112</v>
      </c>
      <c r="W1056">
        <v>121</v>
      </c>
      <c r="X1056">
        <v>412.5</v>
      </c>
      <c r="Y1056">
        <v>545</v>
      </c>
      <c r="Z1056" t="b">
        <v>0</v>
      </c>
    </row>
    <row r="1057" spans="1:26" x14ac:dyDescent="0.25">
      <c r="A1057">
        <v>1056</v>
      </c>
      <c r="B1057" t="s">
        <v>1830</v>
      </c>
      <c r="C1057">
        <v>4</v>
      </c>
      <c r="D1057">
        <v>12</v>
      </c>
      <c r="E1057">
        <v>70</v>
      </c>
      <c r="F1057">
        <v>3</v>
      </c>
      <c r="G1057" t="s">
        <v>112</v>
      </c>
      <c r="H1057">
        <v>2</v>
      </c>
      <c r="I1057" t="s">
        <v>112</v>
      </c>
      <c r="J1057">
        <v>901</v>
      </c>
      <c r="K1057">
        <v>2553</v>
      </c>
      <c r="L1057">
        <v>1</v>
      </c>
      <c r="M1057">
        <v>931</v>
      </c>
      <c r="N1057">
        <v>931</v>
      </c>
      <c r="O1057">
        <v>1</v>
      </c>
      <c r="P1057">
        <v>12</v>
      </c>
      <c r="Q1057">
        <v>25</v>
      </c>
      <c r="R1057">
        <v>1</v>
      </c>
      <c r="S1057">
        <v>3000000</v>
      </c>
      <c r="T1057" t="s">
        <v>1829</v>
      </c>
      <c r="U1057" t="s">
        <v>936</v>
      </c>
      <c r="V1057" t="s">
        <v>1831</v>
      </c>
      <c r="W1057">
        <v>491</v>
      </c>
      <c r="X1057">
        <v>600</v>
      </c>
      <c r="Y1057">
        <v>1228</v>
      </c>
      <c r="Z1057" t="b">
        <v>0</v>
      </c>
    </row>
    <row r="1058" spans="1:26" x14ac:dyDescent="0.25">
      <c r="A1058">
        <v>1057</v>
      </c>
      <c r="B1058" t="s">
        <v>1832</v>
      </c>
      <c r="C1058">
        <v>5</v>
      </c>
      <c r="D1058">
        <v>15</v>
      </c>
      <c r="E1058">
        <v>50</v>
      </c>
      <c r="F1058">
        <v>3</v>
      </c>
      <c r="G1058">
        <v>4</v>
      </c>
      <c r="H1058">
        <v>6</v>
      </c>
      <c r="I1058" t="s">
        <v>112</v>
      </c>
      <c r="J1058">
        <v>281</v>
      </c>
      <c r="K1058">
        <v>1265</v>
      </c>
      <c r="L1058">
        <v>1</v>
      </c>
      <c r="M1058">
        <v>932</v>
      </c>
      <c r="N1058">
        <v>932</v>
      </c>
      <c r="O1058">
        <v>1</v>
      </c>
      <c r="P1058">
        <v>19</v>
      </c>
      <c r="Q1058">
        <v>40</v>
      </c>
      <c r="R1058">
        <v>1</v>
      </c>
      <c r="S1058">
        <v>2000000</v>
      </c>
      <c r="T1058" t="s">
        <v>1833</v>
      </c>
      <c r="U1058" t="s">
        <v>2181</v>
      </c>
      <c r="W1058">
        <v>141</v>
      </c>
      <c r="X1058">
        <v>750</v>
      </c>
      <c r="Y1058">
        <v>635</v>
      </c>
      <c r="Z1058" t="b">
        <v>0</v>
      </c>
    </row>
    <row r="1059" spans="1:26" x14ac:dyDescent="0.25">
      <c r="A1059">
        <v>1058</v>
      </c>
      <c r="B1059" t="s">
        <v>1834</v>
      </c>
      <c r="C1059">
        <v>6</v>
      </c>
      <c r="D1059">
        <v>25</v>
      </c>
      <c r="E1059">
        <v>99</v>
      </c>
      <c r="F1059">
        <v>3</v>
      </c>
      <c r="G1059">
        <v>4</v>
      </c>
      <c r="H1059">
        <v>6</v>
      </c>
      <c r="I1059" t="s">
        <v>112</v>
      </c>
      <c r="J1059">
        <v>1012</v>
      </c>
      <c r="K1059">
        <v>2530</v>
      </c>
      <c r="L1059">
        <v>1</v>
      </c>
      <c r="M1059">
        <v>933</v>
      </c>
      <c r="N1059">
        <v>933</v>
      </c>
      <c r="O1059">
        <v>1</v>
      </c>
      <c r="P1059">
        <v>36</v>
      </c>
      <c r="Q1059">
        <v>76</v>
      </c>
      <c r="R1059">
        <v>1</v>
      </c>
      <c r="S1059">
        <v>4000000</v>
      </c>
      <c r="T1059" t="s">
        <v>1833</v>
      </c>
      <c r="U1059" t="s">
        <v>2181</v>
      </c>
      <c r="V1059" t="s">
        <v>834</v>
      </c>
      <c r="W1059">
        <v>572</v>
      </c>
      <c r="X1059">
        <v>1162.5</v>
      </c>
      <c r="Y1059">
        <v>1430</v>
      </c>
      <c r="Z1059" t="b">
        <v>0</v>
      </c>
    </row>
    <row r="1060" spans="1:26" x14ac:dyDescent="0.25">
      <c r="A1060">
        <v>1059</v>
      </c>
      <c r="B1060" t="s">
        <v>2103</v>
      </c>
      <c r="C1060">
        <v>6</v>
      </c>
      <c r="D1060">
        <v>25</v>
      </c>
      <c r="E1060">
        <v>99</v>
      </c>
      <c r="F1060">
        <v>0</v>
      </c>
      <c r="G1060">
        <v>3</v>
      </c>
      <c r="H1060">
        <v>2</v>
      </c>
      <c r="I1060">
        <v>5</v>
      </c>
      <c r="J1060">
        <v>1213</v>
      </c>
      <c r="K1060">
        <v>3169</v>
      </c>
      <c r="L1060">
        <v>1</v>
      </c>
      <c r="M1060">
        <v>823</v>
      </c>
      <c r="N1060">
        <v>1187</v>
      </c>
      <c r="O1060">
        <v>1</v>
      </c>
      <c r="P1060">
        <v>188</v>
      </c>
      <c r="Q1060">
        <v>332</v>
      </c>
      <c r="R1060">
        <v>1</v>
      </c>
      <c r="S1060">
        <v>4000000</v>
      </c>
      <c r="T1060" t="s">
        <v>2104</v>
      </c>
      <c r="U1060" t="s">
        <v>1876</v>
      </c>
      <c r="V1060" t="s">
        <v>898</v>
      </c>
      <c r="W1060">
        <v>1162.5</v>
      </c>
      <c r="X1060" t="b">
        <v>1</v>
      </c>
    </row>
    <row r="1061" spans="1:26" x14ac:dyDescent="0.25">
      <c r="A1061">
        <v>1060</v>
      </c>
      <c r="B1061" t="s">
        <v>2105</v>
      </c>
      <c r="C1061">
        <v>7</v>
      </c>
      <c r="D1061">
        <v>60</v>
      </c>
      <c r="E1061">
        <v>99</v>
      </c>
      <c r="F1061">
        <v>4</v>
      </c>
      <c r="G1061">
        <v>3</v>
      </c>
      <c r="H1061">
        <v>7</v>
      </c>
      <c r="I1061">
        <v>5</v>
      </c>
      <c r="J1061">
        <v>1231</v>
      </c>
      <c r="K1061">
        <v>3378</v>
      </c>
      <c r="L1061">
        <v>1</v>
      </c>
      <c r="M1061">
        <v>563</v>
      </c>
      <c r="N1061">
        <v>1458</v>
      </c>
      <c r="O1061">
        <v>1</v>
      </c>
      <c r="P1061">
        <v>14</v>
      </c>
      <c r="Q1061">
        <v>29</v>
      </c>
      <c r="R1061">
        <v>1</v>
      </c>
      <c r="S1061">
        <v>4000000</v>
      </c>
      <c r="T1061" t="s">
        <v>1988</v>
      </c>
      <c r="U1061" t="s">
        <v>1986</v>
      </c>
      <c r="V1061" t="s">
        <v>1464</v>
      </c>
      <c r="W1061">
        <v>2512.5</v>
      </c>
      <c r="X1061" t="b">
        <v>1</v>
      </c>
    </row>
    <row r="1062" spans="1:26" x14ac:dyDescent="0.25">
      <c r="A1062">
        <v>1061</v>
      </c>
      <c r="B1062" t="s">
        <v>2325</v>
      </c>
      <c r="C1062">
        <v>6</v>
      </c>
      <c r="D1062">
        <v>25</v>
      </c>
      <c r="E1062">
        <v>50</v>
      </c>
      <c r="F1062">
        <v>4</v>
      </c>
      <c r="G1062" t="s">
        <v>112</v>
      </c>
      <c r="H1062">
        <v>4</v>
      </c>
      <c r="I1062">
        <v>7</v>
      </c>
      <c r="J1062">
        <v>1494</v>
      </c>
      <c r="K1062">
        <v>3086</v>
      </c>
      <c r="L1062">
        <v>1</v>
      </c>
      <c r="M1062">
        <v>444</v>
      </c>
      <c r="N1062">
        <v>755</v>
      </c>
      <c r="O1062">
        <v>1</v>
      </c>
      <c r="P1062">
        <v>0</v>
      </c>
      <c r="Q1062">
        <v>24</v>
      </c>
      <c r="R1062">
        <v>1</v>
      </c>
      <c r="S1062">
        <v>2000000</v>
      </c>
      <c r="T1062" t="s">
        <v>2326</v>
      </c>
      <c r="U1062" t="s">
        <v>2327</v>
      </c>
      <c r="W1062">
        <v>1162.5</v>
      </c>
      <c r="X1062" t="b">
        <v>0</v>
      </c>
    </row>
    <row r="1063" spans="1:26" x14ac:dyDescent="0.25">
      <c r="A1063">
        <v>1062</v>
      </c>
      <c r="B1063" t="s">
        <v>2328</v>
      </c>
      <c r="C1063">
        <v>7</v>
      </c>
      <c r="D1063">
        <v>50</v>
      </c>
      <c r="E1063">
        <v>99</v>
      </c>
      <c r="F1063">
        <v>4</v>
      </c>
      <c r="G1063">
        <v>2</v>
      </c>
      <c r="H1063">
        <v>4</v>
      </c>
      <c r="I1063">
        <v>7</v>
      </c>
      <c r="J1063">
        <v>2869</v>
      </c>
      <c r="K1063">
        <v>5003</v>
      </c>
      <c r="L1063">
        <v>1</v>
      </c>
      <c r="M1063">
        <v>680</v>
      </c>
      <c r="N1063">
        <v>1254</v>
      </c>
      <c r="O1063">
        <v>1</v>
      </c>
      <c r="P1063">
        <v>22</v>
      </c>
      <c r="Q1063">
        <v>26</v>
      </c>
      <c r="R1063">
        <v>1</v>
      </c>
      <c r="S1063">
        <v>5000000</v>
      </c>
      <c r="T1063" t="s">
        <v>2326</v>
      </c>
      <c r="U1063" t="s">
        <v>2327</v>
      </c>
      <c r="V1063" t="s">
        <v>1651</v>
      </c>
      <c r="W1063">
        <v>2137.5</v>
      </c>
      <c r="X1063" t="b">
        <v>0</v>
      </c>
    </row>
    <row r="1064" spans="1:26" x14ac:dyDescent="0.25">
      <c r="A1064">
        <v>1063</v>
      </c>
      <c r="B1064" t="s">
        <v>2329</v>
      </c>
      <c r="C1064">
        <v>2</v>
      </c>
      <c r="D1064">
        <v>5</v>
      </c>
      <c r="E1064">
        <v>25</v>
      </c>
      <c r="F1064">
        <v>4</v>
      </c>
      <c r="G1064" t="s">
        <v>112</v>
      </c>
      <c r="H1064">
        <v>6</v>
      </c>
      <c r="I1064" t="s">
        <v>112</v>
      </c>
      <c r="J1064">
        <v>66</v>
      </c>
      <c r="K1064">
        <v>297</v>
      </c>
      <c r="L1064">
        <v>0.7</v>
      </c>
      <c r="M1064">
        <v>138</v>
      </c>
      <c r="N1064">
        <v>621</v>
      </c>
      <c r="O1064">
        <v>0.7</v>
      </c>
      <c r="P1064">
        <v>45</v>
      </c>
      <c r="Q1064">
        <v>95</v>
      </c>
      <c r="R1064">
        <v>0.7</v>
      </c>
      <c r="S1064">
        <v>2000000</v>
      </c>
      <c r="T1064" t="s">
        <v>112</v>
      </c>
      <c r="U1064" t="s">
        <v>112</v>
      </c>
      <c r="W1064">
        <v>262.5</v>
      </c>
      <c r="X1064" t="b">
        <v>0</v>
      </c>
    </row>
    <row r="1065" spans="1:26" x14ac:dyDescent="0.25">
      <c r="A1065">
        <v>1064</v>
      </c>
      <c r="B1065" t="s">
        <v>2330</v>
      </c>
      <c r="C1065">
        <v>3</v>
      </c>
      <c r="D1065">
        <v>11</v>
      </c>
      <c r="E1065">
        <v>70</v>
      </c>
      <c r="F1065">
        <v>4</v>
      </c>
      <c r="G1065">
        <v>1</v>
      </c>
      <c r="H1065">
        <v>6</v>
      </c>
      <c r="I1065" t="s">
        <v>112</v>
      </c>
      <c r="J1065">
        <v>238</v>
      </c>
      <c r="K1065">
        <v>595</v>
      </c>
      <c r="L1065">
        <v>0.7</v>
      </c>
      <c r="M1065">
        <v>559</v>
      </c>
      <c r="N1065">
        <v>1298</v>
      </c>
      <c r="O1065">
        <v>0.7</v>
      </c>
      <c r="P1065">
        <v>86</v>
      </c>
      <c r="Q1065">
        <v>181</v>
      </c>
      <c r="R1065">
        <v>0.7</v>
      </c>
      <c r="S1065">
        <v>2000000</v>
      </c>
      <c r="T1065" t="s">
        <v>112</v>
      </c>
      <c r="U1065" t="s">
        <v>511</v>
      </c>
      <c r="W1065">
        <v>525</v>
      </c>
      <c r="X1065" t="b">
        <v>0</v>
      </c>
    </row>
    <row r="1066" spans="1:26" x14ac:dyDescent="0.25">
      <c r="A1066">
        <v>1065</v>
      </c>
      <c r="B1066" t="s">
        <v>1652</v>
      </c>
      <c r="C1066">
        <v>5</v>
      </c>
      <c r="D1066">
        <v>15</v>
      </c>
      <c r="E1066">
        <v>50</v>
      </c>
      <c r="F1066">
        <v>0</v>
      </c>
      <c r="G1066" t="s">
        <v>112</v>
      </c>
      <c r="H1066">
        <v>5</v>
      </c>
      <c r="I1066" t="s">
        <v>112</v>
      </c>
      <c r="J1066">
        <v>640</v>
      </c>
      <c r="K1066">
        <v>1536</v>
      </c>
      <c r="L1066">
        <v>1</v>
      </c>
      <c r="M1066">
        <v>454</v>
      </c>
      <c r="N1066">
        <v>772</v>
      </c>
      <c r="O1066">
        <v>1</v>
      </c>
      <c r="P1066">
        <v>155</v>
      </c>
      <c r="Q1066">
        <v>264</v>
      </c>
      <c r="R1066">
        <v>1</v>
      </c>
      <c r="S1066">
        <v>4000000</v>
      </c>
      <c r="T1066" t="s">
        <v>1653</v>
      </c>
      <c r="U1066" t="s">
        <v>1654</v>
      </c>
      <c r="W1066">
        <v>750</v>
      </c>
      <c r="X1066" t="b">
        <v>0</v>
      </c>
    </row>
    <row r="1067" spans="1:26" x14ac:dyDescent="0.25">
      <c r="A1067">
        <v>1066</v>
      </c>
      <c r="B1067" t="s">
        <v>1655</v>
      </c>
      <c r="C1067">
        <v>6</v>
      </c>
      <c r="D1067">
        <v>25</v>
      </c>
      <c r="E1067">
        <v>99</v>
      </c>
      <c r="F1067">
        <v>0</v>
      </c>
      <c r="G1067" t="s">
        <v>112</v>
      </c>
      <c r="H1067">
        <v>5</v>
      </c>
      <c r="I1067" t="s">
        <v>112</v>
      </c>
      <c r="J1067">
        <v>1229</v>
      </c>
      <c r="K1067">
        <v>3073</v>
      </c>
      <c r="L1067">
        <v>1</v>
      </c>
      <c r="M1067">
        <v>695</v>
      </c>
      <c r="N1067">
        <v>1251</v>
      </c>
      <c r="O1067">
        <v>1</v>
      </c>
      <c r="P1067">
        <v>238</v>
      </c>
      <c r="Q1067">
        <v>428</v>
      </c>
      <c r="R1067">
        <v>1</v>
      </c>
      <c r="S1067">
        <v>4000000</v>
      </c>
      <c r="T1067" t="s">
        <v>1653</v>
      </c>
      <c r="U1067" t="s">
        <v>1654</v>
      </c>
      <c r="V1067" t="s">
        <v>2331</v>
      </c>
      <c r="W1067">
        <v>1162.5</v>
      </c>
      <c r="X1067" t="b">
        <v>0</v>
      </c>
    </row>
    <row r="1068" spans="1:26" x14ac:dyDescent="0.25">
      <c r="A1068">
        <v>1067</v>
      </c>
      <c r="B1068" t="s">
        <v>1656</v>
      </c>
      <c r="C1068">
        <v>5</v>
      </c>
      <c r="D1068">
        <v>15</v>
      </c>
      <c r="E1068">
        <v>50</v>
      </c>
      <c r="F1068">
        <v>1</v>
      </c>
      <c r="G1068" t="s">
        <v>112</v>
      </c>
      <c r="H1068">
        <v>5</v>
      </c>
      <c r="I1068" t="s">
        <v>112</v>
      </c>
      <c r="J1068">
        <v>622</v>
      </c>
      <c r="K1068">
        <v>1493</v>
      </c>
      <c r="L1068">
        <v>1</v>
      </c>
      <c r="M1068">
        <v>413</v>
      </c>
      <c r="N1068">
        <v>702</v>
      </c>
      <c r="O1068">
        <v>1</v>
      </c>
      <c r="P1068">
        <v>188</v>
      </c>
      <c r="Q1068">
        <v>320</v>
      </c>
      <c r="R1068">
        <v>1</v>
      </c>
      <c r="S1068">
        <v>4000000</v>
      </c>
      <c r="T1068" t="s">
        <v>1657</v>
      </c>
      <c r="U1068" t="s">
        <v>1658</v>
      </c>
      <c r="W1068">
        <v>750</v>
      </c>
      <c r="X1068" t="b">
        <v>0</v>
      </c>
    </row>
    <row r="1069" spans="1:26" x14ac:dyDescent="0.25">
      <c r="A1069">
        <v>1068</v>
      </c>
      <c r="B1069" t="s">
        <v>1659</v>
      </c>
      <c r="C1069">
        <v>6</v>
      </c>
      <c r="D1069">
        <v>25</v>
      </c>
      <c r="E1069">
        <v>99</v>
      </c>
      <c r="F1069">
        <v>1</v>
      </c>
      <c r="G1069" t="s">
        <v>112</v>
      </c>
      <c r="H1069">
        <v>5</v>
      </c>
      <c r="I1069" t="s">
        <v>112</v>
      </c>
      <c r="J1069">
        <v>1194</v>
      </c>
      <c r="K1069">
        <v>2985</v>
      </c>
      <c r="L1069">
        <v>1</v>
      </c>
      <c r="M1069">
        <v>632</v>
      </c>
      <c r="N1069">
        <v>1138</v>
      </c>
      <c r="O1069">
        <v>1</v>
      </c>
      <c r="P1069">
        <v>288</v>
      </c>
      <c r="Q1069">
        <v>518</v>
      </c>
      <c r="R1069">
        <v>1</v>
      </c>
      <c r="S1069">
        <v>4000000</v>
      </c>
      <c r="T1069" t="s">
        <v>1657</v>
      </c>
      <c r="U1069" t="s">
        <v>1658</v>
      </c>
      <c r="V1069" t="s">
        <v>2332</v>
      </c>
      <c r="W1069">
        <v>1162.5</v>
      </c>
      <c r="X1069" t="b">
        <v>0</v>
      </c>
    </row>
    <row r="1070" spans="1:26" x14ac:dyDescent="0.25">
      <c r="A1070">
        <v>1069</v>
      </c>
      <c r="B1070" t="s">
        <v>1660</v>
      </c>
      <c r="C1070">
        <v>5</v>
      </c>
      <c r="D1070">
        <v>15</v>
      </c>
      <c r="E1070">
        <v>50</v>
      </c>
      <c r="F1070">
        <v>2</v>
      </c>
      <c r="G1070" t="s">
        <v>112</v>
      </c>
      <c r="H1070">
        <v>5</v>
      </c>
      <c r="I1070" t="s">
        <v>112</v>
      </c>
      <c r="J1070">
        <v>655</v>
      </c>
      <c r="K1070">
        <v>1572</v>
      </c>
      <c r="L1070">
        <v>1</v>
      </c>
      <c r="M1070">
        <v>452</v>
      </c>
      <c r="N1070">
        <v>768</v>
      </c>
      <c r="O1070">
        <v>1</v>
      </c>
      <c r="P1070">
        <v>148</v>
      </c>
      <c r="Q1070">
        <v>252</v>
      </c>
      <c r="R1070">
        <v>1</v>
      </c>
      <c r="S1070">
        <v>4000000</v>
      </c>
      <c r="T1070" t="s">
        <v>1661</v>
      </c>
      <c r="U1070" t="s">
        <v>1662</v>
      </c>
      <c r="W1070">
        <v>750</v>
      </c>
      <c r="X1070" t="b">
        <v>0</v>
      </c>
    </row>
    <row r="1071" spans="1:26" x14ac:dyDescent="0.25">
      <c r="A1071">
        <v>1070</v>
      </c>
      <c r="B1071" t="s">
        <v>1663</v>
      </c>
      <c r="C1071">
        <v>6</v>
      </c>
      <c r="D1071">
        <v>25</v>
      </c>
      <c r="E1071">
        <v>99</v>
      </c>
      <c r="F1071">
        <v>2</v>
      </c>
      <c r="G1071" t="s">
        <v>112</v>
      </c>
      <c r="H1071">
        <v>5</v>
      </c>
      <c r="I1071" t="s">
        <v>112</v>
      </c>
      <c r="J1071">
        <v>1258</v>
      </c>
      <c r="K1071">
        <v>3145</v>
      </c>
      <c r="L1071">
        <v>1</v>
      </c>
      <c r="M1071">
        <v>691</v>
      </c>
      <c r="N1071">
        <v>1244</v>
      </c>
      <c r="O1071">
        <v>1</v>
      </c>
      <c r="P1071">
        <v>227</v>
      </c>
      <c r="Q1071">
        <v>409</v>
      </c>
      <c r="R1071">
        <v>1</v>
      </c>
      <c r="S1071">
        <v>4000000</v>
      </c>
      <c r="T1071" t="s">
        <v>1661</v>
      </c>
      <c r="U1071" t="s">
        <v>1662</v>
      </c>
      <c r="V1071" t="s">
        <v>2333</v>
      </c>
      <c r="W1071">
        <v>1162.5</v>
      </c>
      <c r="X1071" t="b">
        <v>0</v>
      </c>
    </row>
    <row r="1072" spans="1:26" x14ac:dyDescent="0.25">
      <c r="A1072">
        <v>1071</v>
      </c>
      <c r="B1072" t="s">
        <v>1664</v>
      </c>
      <c r="C1072">
        <v>5</v>
      </c>
      <c r="D1072">
        <v>15</v>
      </c>
      <c r="E1072">
        <v>50</v>
      </c>
      <c r="F1072">
        <v>3</v>
      </c>
      <c r="G1072" t="s">
        <v>112</v>
      </c>
      <c r="H1072">
        <v>5</v>
      </c>
      <c r="I1072" t="s">
        <v>112</v>
      </c>
      <c r="J1072">
        <v>631</v>
      </c>
      <c r="K1072">
        <v>1514</v>
      </c>
      <c r="L1072">
        <v>1</v>
      </c>
      <c r="M1072">
        <v>450</v>
      </c>
      <c r="N1072">
        <v>765</v>
      </c>
      <c r="O1072">
        <v>1</v>
      </c>
      <c r="P1072">
        <v>162</v>
      </c>
      <c r="Q1072">
        <v>275</v>
      </c>
      <c r="R1072">
        <v>1</v>
      </c>
      <c r="S1072">
        <v>4000000</v>
      </c>
      <c r="T1072" t="s">
        <v>1665</v>
      </c>
      <c r="U1072" t="s">
        <v>1666</v>
      </c>
      <c r="W1072">
        <v>750</v>
      </c>
      <c r="X1072" t="b">
        <v>0</v>
      </c>
    </row>
    <row r="1073" spans="1:24" x14ac:dyDescent="0.25">
      <c r="A1073">
        <v>1072</v>
      </c>
      <c r="B1073" t="s">
        <v>1667</v>
      </c>
      <c r="C1073">
        <v>6</v>
      </c>
      <c r="D1073">
        <v>25</v>
      </c>
      <c r="E1073">
        <v>99</v>
      </c>
      <c r="F1073">
        <v>3</v>
      </c>
      <c r="G1073" t="s">
        <v>112</v>
      </c>
      <c r="H1073">
        <v>5</v>
      </c>
      <c r="I1073" t="s">
        <v>112</v>
      </c>
      <c r="J1073">
        <v>1211</v>
      </c>
      <c r="K1073">
        <v>3028</v>
      </c>
      <c r="L1073">
        <v>1</v>
      </c>
      <c r="M1073">
        <v>689</v>
      </c>
      <c r="N1073">
        <v>1240</v>
      </c>
      <c r="O1073">
        <v>1</v>
      </c>
      <c r="P1073">
        <v>248</v>
      </c>
      <c r="Q1073">
        <v>446</v>
      </c>
      <c r="R1073">
        <v>1</v>
      </c>
      <c r="S1073">
        <v>4000000</v>
      </c>
      <c r="T1073" t="s">
        <v>1665</v>
      </c>
      <c r="U1073" t="s">
        <v>1666</v>
      </c>
      <c r="V1073" t="s">
        <v>2334</v>
      </c>
      <c r="W1073">
        <v>1162.5</v>
      </c>
      <c r="X1073" t="b">
        <v>0</v>
      </c>
    </row>
    <row r="1074" spans="1:24" x14ac:dyDescent="0.25">
      <c r="A1074">
        <v>1073</v>
      </c>
      <c r="B1074" t="s">
        <v>1668</v>
      </c>
      <c r="C1074">
        <v>5</v>
      </c>
      <c r="D1074">
        <v>15</v>
      </c>
      <c r="E1074">
        <v>50</v>
      </c>
      <c r="F1074">
        <v>4</v>
      </c>
      <c r="G1074" t="s">
        <v>112</v>
      </c>
      <c r="H1074">
        <v>5</v>
      </c>
      <c r="I1074" t="s">
        <v>112</v>
      </c>
      <c r="J1074">
        <v>614</v>
      </c>
      <c r="K1074">
        <v>1474</v>
      </c>
      <c r="L1074">
        <v>1</v>
      </c>
      <c r="M1074">
        <v>444</v>
      </c>
      <c r="N1074">
        <v>755</v>
      </c>
      <c r="O1074">
        <v>1</v>
      </c>
      <c r="P1074">
        <v>174</v>
      </c>
      <c r="Q1074">
        <v>296</v>
      </c>
      <c r="R1074">
        <v>1</v>
      </c>
      <c r="S1074">
        <v>4000000</v>
      </c>
      <c r="T1074" t="s">
        <v>1669</v>
      </c>
      <c r="U1074" t="s">
        <v>1670</v>
      </c>
      <c r="W1074">
        <v>750</v>
      </c>
      <c r="X1074" t="b">
        <v>0</v>
      </c>
    </row>
    <row r="1075" spans="1:24" x14ac:dyDescent="0.25">
      <c r="A1075">
        <v>1074</v>
      </c>
      <c r="B1075" t="s">
        <v>1671</v>
      </c>
      <c r="C1075">
        <v>6</v>
      </c>
      <c r="D1075">
        <v>25</v>
      </c>
      <c r="E1075">
        <v>99</v>
      </c>
      <c r="F1075">
        <v>4</v>
      </c>
      <c r="G1075" t="s">
        <v>112</v>
      </c>
      <c r="H1075">
        <v>5</v>
      </c>
      <c r="I1075" t="s">
        <v>112</v>
      </c>
      <c r="J1075">
        <v>1179</v>
      </c>
      <c r="K1075">
        <v>2948</v>
      </c>
      <c r="L1075">
        <v>1</v>
      </c>
      <c r="M1075">
        <v>680</v>
      </c>
      <c r="N1075">
        <v>1224</v>
      </c>
      <c r="O1075">
        <v>1</v>
      </c>
      <c r="P1075">
        <v>266</v>
      </c>
      <c r="Q1075">
        <v>479</v>
      </c>
      <c r="R1075">
        <v>1</v>
      </c>
      <c r="S1075">
        <v>4000000</v>
      </c>
      <c r="T1075" t="s">
        <v>1669</v>
      </c>
      <c r="U1075" t="s">
        <v>1670</v>
      </c>
      <c r="V1075" t="s">
        <v>2335</v>
      </c>
      <c r="W1075">
        <v>1162.5</v>
      </c>
      <c r="X1075" t="b">
        <v>0</v>
      </c>
    </row>
    <row r="1076" spans="1:24" x14ac:dyDescent="0.25">
      <c r="A1076">
        <v>1075</v>
      </c>
      <c r="B1076" t="s">
        <v>1672</v>
      </c>
      <c r="C1076">
        <v>4</v>
      </c>
      <c r="D1076">
        <v>20</v>
      </c>
      <c r="E1076">
        <v>50</v>
      </c>
      <c r="F1076">
        <v>0</v>
      </c>
      <c r="G1076" t="s">
        <v>112</v>
      </c>
      <c r="H1076">
        <v>4</v>
      </c>
      <c r="I1076" t="s">
        <v>112</v>
      </c>
      <c r="J1076">
        <v>451</v>
      </c>
      <c r="K1076">
        <v>1082</v>
      </c>
      <c r="L1076">
        <v>1</v>
      </c>
      <c r="M1076">
        <v>389</v>
      </c>
      <c r="N1076">
        <v>661</v>
      </c>
      <c r="O1076">
        <v>1</v>
      </c>
      <c r="P1076">
        <v>152</v>
      </c>
      <c r="Q1076">
        <v>258</v>
      </c>
      <c r="R1076">
        <v>1</v>
      </c>
      <c r="S1076">
        <v>3000000</v>
      </c>
      <c r="T1076" t="s">
        <v>1673</v>
      </c>
      <c r="U1076" t="s">
        <v>1674</v>
      </c>
      <c r="W1076">
        <v>900</v>
      </c>
      <c r="X1076" t="b">
        <v>0</v>
      </c>
    </row>
    <row r="1077" spans="1:24" x14ac:dyDescent="0.25">
      <c r="A1077">
        <v>1076</v>
      </c>
      <c r="B1077" t="s">
        <v>1675</v>
      </c>
      <c r="C1077">
        <v>5</v>
      </c>
      <c r="D1077">
        <v>35</v>
      </c>
      <c r="E1077">
        <v>99</v>
      </c>
      <c r="F1077">
        <v>0</v>
      </c>
      <c r="G1077">
        <v>2</v>
      </c>
      <c r="H1077">
        <v>4</v>
      </c>
      <c r="I1077" t="s">
        <v>112</v>
      </c>
      <c r="J1077">
        <v>866</v>
      </c>
      <c r="K1077">
        <v>2165</v>
      </c>
      <c r="L1077">
        <v>1</v>
      </c>
      <c r="M1077">
        <v>595</v>
      </c>
      <c r="N1077">
        <v>971</v>
      </c>
      <c r="O1077">
        <v>1</v>
      </c>
      <c r="P1077">
        <v>232</v>
      </c>
      <c r="Q1077">
        <v>358</v>
      </c>
      <c r="R1077">
        <v>1</v>
      </c>
      <c r="S1077">
        <v>3000000</v>
      </c>
      <c r="T1077" t="s">
        <v>1677</v>
      </c>
      <c r="U1077" t="s">
        <v>1674</v>
      </c>
      <c r="V1077" t="s">
        <v>1676</v>
      </c>
      <c r="W1077">
        <v>1500</v>
      </c>
      <c r="X1077" t="b">
        <v>0</v>
      </c>
    </row>
    <row r="1078" spans="1:24" x14ac:dyDescent="0.25">
      <c r="A1078">
        <v>1077</v>
      </c>
      <c r="B1078" t="s">
        <v>1678</v>
      </c>
      <c r="C1078">
        <v>4</v>
      </c>
      <c r="D1078">
        <v>20</v>
      </c>
      <c r="E1078">
        <v>50</v>
      </c>
      <c r="F1078">
        <v>1</v>
      </c>
      <c r="G1078" t="s">
        <v>112</v>
      </c>
      <c r="H1078">
        <v>4</v>
      </c>
      <c r="I1078" t="s">
        <v>112</v>
      </c>
      <c r="J1078">
        <v>455</v>
      </c>
      <c r="K1078">
        <v>1092</v>
      </c>
      <c r="L1078">
        <v>1</v>
      </c>
      <c r="M1078">
        <v>380</v>
      </c>
      <c r="N1078">
        <v>646</v>
      </c>
      <c r="O1078">
        <v>1</v>
      </c>
      <c r="P1078">
        <v>154</v>
      </c>
      <c r="Q1078">
        <v>262</v>
      </c>
      <c r="R1078">
        <v>1</v>
      </c>
      <c r="S1078">
        <v>3000000</v>
      </c>
      <c r="T1078" t="s">
        <v>1679</v>
      </c>
      <c r="U1078" t="s">
        <v>1680</v>
      </c>
      <c r="W1078">
        <v>900</v>
      </c>
      <c r="X1078" t="b">
        <v>0</v>
      </c>
    </row>
    <row r="1079" spans="1:24" x14ac:dyDescent="0.25">
      <c r="A1079">
        <v>1078</v>
      </c>
      <c r="B1079" t="s">
        <v>1681</v>
      </c>
      <c r="C1079">
        <v>5</v>
      </c>
      <c r="D1079">
        <v>35</v>
      </c>
      <c r="E1079">
        <v>99</v>
      </c>
      <c r="F1079">
        <v>1</v>
      </c>
      <c r="G1079">
        <v>2</v>
      </c>
      <c r="H1079">
        <v>4</v>
      </c>
      <c r="I1079" t="s">
        <v>112</v>
      </c>
      <c r="J1079">
        <v>874</v>
      </c>
      <c r="K1079">
        <v>2185</v>
      </c>
      <c r="L1079">
        <v>1</v>
      </c>
      <c r="M1079">
        <v>581</v>
      </c>
      <c r="N1079">
        <v>946</v>
      </c>
      <c r="O1079">
        <v>1</v>
      </c>
      <c r="P1079">
        <v>236</v>
      </c>
      <c r="Q1079">
        <v>365</v>
      </c>
      <c r="R1079">
        <v>1</v>
      </c>
      <c r="S1079">
        <v>3000000</v>
      </c>
      <c r="T1079" t="s">
        <v>1683</v>
      </c>
      <c r="U1079" t="s">
        <v>1680</v>
      </c>
      <c r="V1079" t="s">
        <v>1682</v>
      </c>
      <c r="W1079">
        <v>1500</v>
      </c>
      <c r="X1079" t="b">
        <v>0</v>
      </c>
    </row>
    <row r="1080" spans="1:24" x14ac:dyDescent="0.25">
      <c r="A1080">
        <v>1079</v>
      </c>
      <c r="B1080" t="s">
        <v>1684</v>
      </c>
      <c r="C1080">
        <v>4</v>
      </c>
      <c r="D1080">
        <v>20</v>
      </c>
      <c r="E1080">
        <v>50</v>
      </c>
      <c r="F1080">
        <v>2</v>
      </c>
      <c r="G1080" t="s">
        <v>112</v>
      </c>
      <c r="H1080">
        <v>4</v>
      </c>
      <c r="I1080" t="s">
        <v>112</v>
      </c>
      <c r="J1080">
        <v>462</v>
      </c>
      <c r="K1080">
        <v>1109</v>
      </c>
      <c r="L1080">
        <v>1</v>
      </c>
      <c r="M1080">
        <v>371</v>
      </c>
      <c r="N1080">
        <v>631</v>
      </c>
      <c r="O1080">
        <v>1</v>
      </c>
      <c r="P1080">
        <v>157</v>
      </c>
      <c r="Q1080">
        <v>267</v>
      </c>
      <c r="R1080">
        <v>1</v>
      </c>
      <c r="S1080">
        <v>3000000</v>
      </c>
      <c r="T1080" t="s">
        <v>1685</v>
      </c>
      <c r="U1080" t="s">
        <v>1686</v>
      </c>
      <c r="W1080">
        <v>900</v>
      </c>
      <c r="X1080" t="b">
        <v>0</v>
      </c>
    </row>
    <row r="1081" spans="1:24" x14ac:dyDescent="0.25">
      <c r="A1081">
        <v>1080</v>
      </c>
      <c r="B1081" t="s">
        <v>1687</v>
      </c>
      <c r="C1081">
        <v>5</v>
      </c>
      <c r="D1081">
        <v>35</v>
      </c>
      <c r="E1081">
        <v>99</v>
      </c>
      <c r="F1081">
        <v>2</v>
      </c>
      <c r="G1081">
        <v>2</v>
      </c>
      <c r="H1081">
        <v>4</v>
      </c>
      <c r="I1081" t="s">
        <v>112</v>
      </c>
      <c r="J1081">
        <v>887</v>
      </c>
      <c r="K1081">
        <v>2218</v>
      </c>
      <c r="L1081">
        <v>1</v>
      </c>
      <c r="M1081">
        <v>568</v>
      </c>
      <c r="N1081">
        <v>922</v>
      </c>
      <c r="O1081">
        <v>1</v>
      </c>
      <c r="P1081">
        <v>240</v>
      </c>
      <c r="Q1081">
        <v>372</v>
      </c>
      <c r="R1081">
        <v>1</v>
      </c>
      <c r="S1081">
        <v>3000000</v>
      </c>
      <c r="T1081" t="s">
        <v>1689</v>
      </c>
      <c r="U1081" t="s">
        <v>1686</v>
      </c>
      <c r="V1081" t="s">
        <v>1688</v>
      </c>
      <c r="W1081">
        <v>1500</v>
      </c>
      <c r="X1081" t="b">
        <v>0</v>
      </c>
    </row>
    <row r="1082" spans="1:24" x14ac:dyDescent="0.25">
      <c r="A1082">
        <v>1081</v>
      </c>
      <c r="B1082" t="s">
        <v>1690</v>
      </c>
      <c r="C1082">
        <v>4</v>
      </c>
      <c r="D1082">
        <v>20</v>
      </c>
      <c r="E1082">
        <v>50</v>
      </c>
      <c r="F1082">
        <v>3</v>
      </c>
      <c r="G1082" t="s">
        <v>112</v>
      </c>
      <c r="H1082">
        <v>4</v>
      </c>
      <c r="I1082" t="s">
        <v>112</v>
      </c>
      <c r="J1082">
        <v>449</v>
      </c>
      <c r="K1082">
        <v>1078</v>
      </c>
      <c r="L1082">
        <v>1</v>
      </c>
      <c r="M1082">
        <v>382</v>
      </c>
      <c r="N1082">
        <v>649</v>
      </c>
      <c r="O1082">
        <v>1</v>
      </c>
      <c r="P1082">
        <v>157</v>
      </c>
      <c r="Q1082">
        <v>267</v>
      </c>
      <c r="R1082">
        <v>1</v>
      </c>
      <c r="S1082">
        <v>3000000</v>
      </c>
      <c r="T1082" t="s">
        <v>1691</v>
      </c>
      <c r="U1082" t="s">
        <v>1692</v>
      </c>
      <c r="W1082">
        <v>900</v>
      </c>
      <c r="X1082" t="b">
        <v>0</v>
      </c>
    </row>
    <row r="1083" spans="1:24" x14ac:dyDescent="0.25">
      <c r="A1083">
        <v>1082</v>
      </c>
      <c r="B1083" t="s">
        <v>1693</v>
      </c>
      <c r="C1083">
        <v>5</v>
      </c>
      <c r="D1083">
        <v>35</v>
      </c>
      <c r="E1083">
        <v>99</v>
      </c>
      <c r="F1083">
        <v>3</v>
      </c>
      <c r="G1083">
        <v>2</v>
      </c>
      <c r="H1083">
        <v>4</v>
      </c>
      <c r="I1083" t="s">
        <v>112</v>
      </c>
      <c r="J1083">
        <v>862</v>
      </c>
      <c r="K1083">
        <v>2155</v>
      </c>
      <c r="L1083">
        <v>1</v>
      </c>
      <c r="M1083">
        <v>584</v>
      </c>
      <c r="N1083">
        <v>951</v>
      </c>
      <c r="O1083">
        <v>1</v>
      </c>
      <c r="P1083">
        <v>240</v>
      </c>
      <c r="Q1083">
        <v>372</v>
      </c>
      <c r="R1083">
        <v>1</v>
      </c>
      <c r="S1083">
        <v>3000000</v>
      </c>
      <c r="T1083" t="s">
        <v>1695</v>
      </c>
      <c r="U1083" t="s">
        <v>1692</v>
      </c>
      <c r="V1083" t="s">
        <v>1694</v>
      </c>
      <c r="W1083">
        <v>1500</v>
      </c>
      <c r="X1083" t="b">
        <v>0</v>
      </c>
    </row>
    <row r="1084" spans="1:24" x14ac:dyDescent="0.25">
      <c r="A1084">
        <v>1083</v>
      </c>
      <c r="B1084" t="s">
        <v>1696</v>
      </c>
      <c r="C1084">
        <v>4</v>
      </c>
      <c r="D1084">
        <v>20</v>
      </c>
      <c r="E1084">
        <v>50</v>
      </c>
      <c r="F1084">
        <v>4</v>
      </c>
      <c r="G1084" t="s">
        <v>112</v>
      </c>
      <c r="H1084">
        <v>4</v>
      </c>
      <c r="I1084" t="s">
        <v>112</v>
      </c>
      <c r="J1084">
        <v>443</v>
      </c>
      <c r="K1084">
        <v>1063</v>
      </c>
      <c r="L1084">
        <v>1</v>
      </c>
      <c r="M1084">
        <v>375</v>
      </c>
      <c r="N1084">
        <v>638</v>
      </c>
      <c r="O1084">
        <v>1</v>
      </c>
      <c r="P1084">
        <v>164</v>
      </c>
      <c r="Q1084">
        <v>279</v>
      </c>
      <c r="R1084">
        <v>1</v>
      </c>
      <c r="S1084">
        <v>3000000</v>
      </c>
      <c r="T1084" t="s">
        <v>1697</v>
      </c>
      <c r="U1084" t="s">
        <v>1698</v>
      </c>
      <c r="W1084">
        <v>900</v>
      </c>
      <c r="X1084" t="b">
        <v>0</v>
      </c>
    </row>
    <row r="1085" spans="1:24" x14ac:dyDescent="0.25">
      <c r="A1085">
        <v>1084</v>
      </c>
      <c r="B1085" t="s">
        <v>1699</v>
      </c>
      <c r="C1085">
        <v>5</v>
      </c>
      <c r="D1085">
        <v>35</v>
      </c>
      <c r="E1085">
        <v>99</v>
      </c>
      <c r="F1085">
        <v>4</v>
      </c>
      <c r="G1085">
        <v>2</v>
      </c>
      <c r="H1085">
        <v>4</v>
      </c>
      <c r="I1085" t="s">
        <v>112</v>
      </c>
      <c r="J1085">
        <v>850</v>
      </c>
      <c r="K1085">
        <v>2125</v>
      </c>
      <c r="L1085">
        <v>1</v>
      </c>
      <c r="M1085">
        <v>574</v>
      </c>
      <c r="N1085">
        <v>933</v>
      </c>
      <c r="O1085">
        <v>1</v>
      </c>
      <c r="P1085">
        <v>251</v>
      </c>
      <c r="Q1085">
        <v>392</v>
      </c>
      <c r="R1085">
        <v>1</v>
      </c>
      <c r="S1085">
        <v>3000000</v>
      </c>
      <c r="T1085" t="s">
        <v>1701</v>
      </c>
      <c r="U1085" t="s">
        <v>1698</v>
      </c>
      <c r="V1085" t="s">
        <v>1700</v>
      </c>
      <c r="W1085">
        <v>1500</v>
      </c>
      <c r="X1085" t="b">
        <v>0</v>
      </c>
    </row>
    <row r="1086" spans="1:24" x14ac:dyDescent="0.25">
      <c r="A1086">
        <v>1085</v>
      </c>
      <c r="B1086" t="s">
        <v>1702</v>
      </c>
      <c r="C1086">
        <v>6</v>
      </c>
      <c r="D1086">
        <v>1</v>
      </c>
      <c r="E1086">
        <v>1</v>
      </c>
      <c r="F1086">
        <v>0</v>
      </c>
      <c r="G1086">
        <v>2</v>
      </c>
      <c r="H1086">
        <v>0</v>
      </c>
      <c r="I1086" t="s">
        <v>112</v>
      </c>
      <c r="J1086">
        <v>500</v>
      </c>
      <c r="K1086">
        <v>500</v>
      </c>
      <c r="L1086">
        <v>1</v>
      </c>
      <c r="M1086">
        <v>400</v>
      </c>
      <c r="N1086">
        <v>400</v>
      </c>
      <c r="O1086">
        <v>1</v>
      </c>
      <c r="P1086">
        <v>300</v>
      </c>
      <c r="Q1086">
        <v>300</v>
      </c>
      <c r="R1086">
        <v>1</v>
      </c>
      <c r="S1086">
        <v>1500000</v>
      </c>
      <c r="T1086" t="s">
        <v>112</v>
      </c>
      <c r="U1086" t="s">
        <v>1510</v>
      </c>
      <c r="W1086">
        <v>10000</v>
      </c>
      <c r="X1086" t="b">
        <v>0</v>
      </c>
    </row>
    <row r="1087" spans="1:24" x14ac:dyDescent="0.25">
      <c r="A1087">
        <v>1086</v>
      </c>
      <c r="B1087" t="s">
        <v>1703</v>
      </c>
      <c r="C1087">
        <v>6</v>
      </c>
      <c r="D1087">
        <v>1</v>
      </c>
      <c r="E1087">
        <v>1</v>
      </c>
      <c r="F1087">
        <v>1</v>
      </c>
      <c r="G1087">
        <v>2</v>
      </c>
      <c r="H1087">
        <v>0</v>
      </c>
      <c r="I1087" t="s">
        <v>112</v>
      </c>
      <c r="J1087">
        <v>500</v>
      </c>
      <c r="K1087">
        <v>500</v>
      </c>
      <c r="L1087">
        <v>1</v>
      </c>
      <c r="M1087">
        <v>400</v>
      </c>
      <c r="N1087">
        <v>400</v>
      </c>
      <c r="O1087">
        <v>1</v>
      </c>
      <c r="P1087">
        <v>300</v>
      </c>
      <c r="Q1087">
        <v>300</v>
      </c>
      <c r="R1087">
        <v>1</v>
      </c>
      <c r="S1087">
        <v>1500000</v>
      </c>
      <c r="T1087" t="s">
        <v>112</v>
      </c>
      <c r="U1087" t="s">
        <v>1704</v>
      </c>
      <c r="W1087">
        <v>10000</v>
      </c>
      <c r="X1087" t="b">
        <v>0</v>
      </c>
    </row>
    <row r="1088" spans="1:24" x14ac:dyDescent="0.25">
      <c r="A1088">
        <v>1087</v>
      </c>
      <c r="B1088" t="s">
        <v>1705</v>
      </c>
      <c r="C1088">
        <v>6</v>
      </c>
      <c r="D1088">
        <v>1</v>
      </c>
      <c r="E1088">
        <v>1</v>
      </c>
      <c r="F1088">
        <v>2</v>
      </c>
      <c r="G1088">
        <v>3</v>
      </c>
      <c r="H1088">
        <v>0</v>
      </c>
      <c r="I1088" t="s">
        <v>112</v>
      </c>
      <c r="J1088">
        <v>500</v>
      </c>
      <c r="K1088">
        <v>500</v>
      </c>
      <c r="L1088">
        <v>1</v>
      </c>
      <c r="M1088">
        <v>400</v>
      </c>
      <c r="N1088">
        <v>400</v>
      </c>
      <c r="O1088">
        <v>1</v>
      </c>
      <c r="P1088">
        <v>300</v>
      </c>
      <c r="Q1088">
        <v>300</v>
      </c>
      <c r="R1088">
        <v>1</v>
      </c>
      <c r="S1088">
        <v>1500000</v>
      </c>
      <c r="T1088" t="s">
        <v>112</v>
      </c>
      <c r="U1088" t="s">
        <v>1515</v>
      </c>
      <c r="W1088">
        <v>10000</v>
      </c>
      <c r="X1088" t="b">
        <v>0</v>
      </c>
    </row>
    <row r="1089" spans="1:24" x14ac:dyDescent="0.25">
      <c r="A1089">
        <v>1088</v>
      </c>
      <c r="B1089" t="s">
        <v>1706</v>
      </c>
      <c r="C1089">
        <v>6</v>
      </c>
      <c r="D1089">
        <v>40</v>
      </c>
      <c r="E1089">
        <v>50</v>
      </c>
      <c r="F1089">
        <v>1</v>
      </c>
      <c r="G1089">
        <v>4</v>
      </c>
      <c r="H1089">
        <v>4</v>
      </c>
      <c r="I1089">
        <v>2</v>
      </c>
      <c r="J1089">
        <v>1079</v>
      </c>
      <c r="K1089">
        <v>2590</v>
      </c>
      <c r="L1089">
        <v>1</v>
      </c>
      <c r="M1089">
        <v>512</v>
      </c>
      <c r="N1089">
        <v>870</v>
      </c>
      <c r="O1089">
        <v>1</v>
      </c>
      <c r="P1089">
        <v>0</v>
      </c>
      <c r="Q1089">
        <v>0</v>
      </c>
      <c r="R1089">
        <v>1</v>
      </c>
      <c r="S1089">
        <v>5000000</v>
      </c>
      <c r="T1089" t="s">
        <v>1707</v>
      </c>
      <c r="U1089" t="s">
        <v>1704</v>
      </c>
      <c r="W1089">
        <v>1725</v>
      </c>
      <c r="X1089" t="b">
        <v>0</v>
      </c>
    </row>
    <row r="1090" spans="1:24" x14ac:dyDescent="0.25">
      <c r="A1090">
        <v>1089</v>
      </c>
      <c r="B1090" t="s">
        <v>1708</v>
      </c>
      <c r="C1090">
        <v>7</v>
      </c>
      <c r="D1090">
        <v>60</v>
      </c>
      <c r="E1090">
        <v>99</v>
      </c>
      <c r="F1090">
        <v>1</v>
      </c>
      <c r="G1090">
        <v>4</v>
      </c>
      <c r="H1090">
        <v>4</v>
      </c>
      <c r="I1090">
        <v>2</v>
      </c>
      <c r="J1090">
        <v>2072</v>
      </c>
      <c r="K1090">
        <v>5180</v>
      </c>
      <c r="L1090">
        <v>1</v>
      </c>
      <c r="M1090">
        <v>783</v>
      </c>
      <c r="N1090">
        <v>1409</v>
      </c>
      <c r="O1090">
        <v>1</v>
      </c>
      <c r="P1090">
        <v>0</v>
      </c>
      <c r="Q1090">
        <v>0</v>
      </c>
      <c r="R1090">
        <v>1</v>
      </c>
      <c r="S1090">
        <v>5000000</v>
      </c>
      <c r="T1090" t="s">
        <v>1707</v>
      </c>
      <c r="U1090" t="s">
        <v>1704</v>
      </c>
      <c r="V1090" t="s">
        <v>1709</v>
      </c>
      <c r="W1090">
        <v>2512.5</v>
      </c>
      <c r="X1090" t="b">
        <v>0</v>
      </c>
    </row>
    <row r="1091" spans="1:24" x14ac:dyDescent="0.25">
      <c r="A1091">
        <v>1090</v>
      </c>
      <c r="B1091" t="s">
        <v>2336</v>
      </c>
      <c r="C1091">
        <v>6</v>
      </c>
      <c r="D1091">
        <v>35</v>
      </c>
      <c r="E1091">
        <v>99</v>
      </c>
      <c r="F1091">
        <v>0</v>
      </c>
      <c r="G1091">
        <v>2</v>
      </c>
      <c r="H1091">
        <v>4</v>
      </c>
      <c r="I1091">
        <v>6</v>
      </c>
      <c r="J1091">
        <v>1130</v>
      </c>
      <c r="K1091">
        <v>2825</v>
      </c>
      <c r="L1091">
        <v>1</v>
      </c>
      <c r="M1091">
        <v>950</v>
      </c>
      <c r="N1091">
        <v>1680</v>
      </c>
      <c r="O1091">
        <v>1</v>
      </c>
      <c r="P1091">
        <v>93</v>
      </c>
      <c r="Q1091">
        <v>186</v>
      </c>
      <c r="R1091">
        <v>1</v>
      </c>
      <c r="S1091">
        <v>4000000</v>
      </c>
      <c r="T1091" t="s">
        <v>2337</v>
      </c>
      <c r="U1091" t="s">
        <v>441</v>
      </c>
      <c r="V1091" t="s">
        <v>440</v>
      </c>
      <c r="W1091">
        <v>1537.5</v>
      </c>
      <c r="X1091" t="b">
        <v>0</v>
      </c>
    </row>
    <row r="1092" spans="1:24" x14ac:dyDescent="0.25">
      <c r="A1092">
        <v>1091</v>
      </c>
      <c r="B1092" t="s">
        <v>2338</v>
      </c>
      <c r="C1092">
        <v>6</v>
      </c>
      <c r="D1092">
        <v>35</v>
      </c>
      <c r="E1092">
        <v>99</v>
      </c>
      <c r="F1092">
        <v>1</v>
      </c>
      <c r="G1092">
        <v>0</v>
      </c>
      <c r="H1092">
        <v>4</v>
      </c>
      <c r="I1092">
        <v>2</v>
      </c>
      <c r="J1092">
        <v>1222</v>
      </c>
      <c r="K1092">
        <v>3855</v>
      </c>
      <c r="L1092">
        <v>1</v>
      </c>
      <c r="M1092">
        <v>903</v>
      </c>
      <c r="N1092">
        <v>1264</v>
      </c>
      <c r="O1092">
        <v>1</v>
      </c>
      <c r="P1092">
        <v>101</v>
      </c>
      <c r="Q1092">
        <v>202</v>
      </c>
      <c r="R1092">
        <v>1</v>
      </c>
      <c r="S1092">
        <v>4000000</v>
      </c>
      <c r="T1092" t="s">
        <v>2339</v>
      </c>
      <c r="U1092" t="s">
        <v>444</v>
      </c>
      <c r="V1092" t="s">
        <v>443</v>
      </c>
      <c r="W1092">
        <v>1537.5</v>
      </c>
      <c r="X1092" t="b">
        <v>0</v>
      </c>
    </row>
    <row r="1093" spans="1:24" x14ac:dyDescent="0.25">
      <c r="A1093">
        <v>1092</v>
      </c>
      <c r="B1093" t="s">
        <v>1710</v>
      </c>
      <c r="C1093">
        <v>6</v>
      </c>
      <c r="D1093">
        <v>35</v>
      </c>
      <c r="E1093">
        <v>99</v>
      </c>
      <c r="F1093">
        <v>2</v>
      </c>
      <c r="G1093">
        <v>0</v>
      </c>
      <c r="H1093">
        <v>4</v>
      </c>
      <c r="I1093">
        <v>1</v>
      </c>
      <c r="J1093">
        <v>1204</v>
      </c>
      <c r="K1093">
        <v>3260</v>
      </c>
      <c r="L1093">
        <v>1</v>
      </c>
      <c r="M1093">
        <v>914</v>
      </c>
      <c r="N1093">
        <v>1410</v>
      </c>
      <c r="O1093">
        <v>1</v>
      </c>
      <c r="P1093">
        <v>109</v>
      </c>
      <c r="Q1093">
        <v>298</v>
      </c>
      <c r="R1093">
        <v>1</v>
      </c>
      <c r="S1093">
        <v>4000000</v>
      </c>
      <c r="T1093" t="s">
        <v>1711</v>
      </c>
      <c r="U1093" t="s">
        <v>447</v>
      </c>
      <c r="V1093" t="s">
        <v>446</v>
      </c>
      <c r="W1093">
        <v>1537.5</v>
      </c>
      <c r="X1093" t="b">
        <v>0</v>
      </c>
    </row>
    <row r="1094" spans="1:24" x14ac:dyDescent="0.25">
      <c r="A1094">
        <v>1093</v>
      </c>
      <c r="B1094" t="s">
        <v>1712</v>
      </c>
      <c r="C1094">
        <v>6</v>
      </c>
      <c r="D1094">
        <v>35</v>
      </c>
      <c r="E1094">
        <v>99</v>
      </c>
      <c r="F1094">
        <v>3</v>
      </c>
      <c r="G1094">
        <v>2</v>
      </c>
      <c r="H1094">
        <v>4</v>
      </c>
      <c r="I1094">
        <v>3</v>
      </c>
      <c r="J1094">
        <v>1158</v>
      </c>
      <c r="K1094">
        <v>2545</v>
      </c>
      <c r="L1094">
        <v>1</v>
      </c>
      <c r="M1094">
        <v>924</v>
      </c>
      <c r="N1094">
        <v>1344</v>
      </c>
      <c r="O1094">
        <v>1</v>
      </c>
      <c r="P1094">
        <v>117</v>
      </c>
      <c r="Q1094">
        <v>404</v>
      </c>
      <c r="R1094">
        <v>1</v>
      </c>
      <c r="S1094">
        <v>4000000</v>
      </c>
      <c r="T1094" t="s">
        <v>574</v>
      </c>
      <c r="U1094" t="s">
        <v>450</v>
      </c>
      <c r="V1094" t="s">
        <v>1713</v>
      </c>
      <c r="W1094">
        <v>1537.5</v>
      </c>
      <c r="X1094" t="b">
        <v>0</v>
      </c>
    </row>
    <row r="1095" spans="1:24" x14ac:dyDescent="0.25">
      <c r="A1095">
        <v>1094</v>
      </c>
      <c r="B1095" t="s">
        <v>1714</v>
      </c>
      <c r="C1095">
        <v>6</v>
      </c>
      <c r="D1095">
        <v>35</v>
      </c>
      <c r="E1095">
        <v>99</v>
      </c>
      <c r="F1095">
        <v>4</v>
      </c>
      <c r="G1095">
        <v>2</v>
      </c>
      <c r="H1095">
        <v>4</v>
      </c>
      <c r="I1095">
        <v>7</v>
      </c>
      <c r="J1095">
        <v>1176</v>
      </c>
      <c r="K1095">
        <v>3040</v>
      </c>
      <c r="L1095">
        <v>1</v>
      </c>
      <c r="M1095">
        <v>940</v>
      </c>
      <c r="N1095">
        <v>1616</v>
      </c>
      <c r="O1095">
        <v>1</v>
      </c>
      <c r="P1095">
        <v>86</v>
      </c>
      <c r="Q1095">
        <v>172</v>
      </c>
      <c r="R1095">
        <v>1</v>
      </c>
      <c r="S1095">
        <v>4000000</v>
      </c>
      <c r="T1095" t="s">
        <v>1320</v>
      </c>
      <c r="U1095" t="s">
        <v>453</v>
      </c>
      <c r="V1095" t="s">
        <v>1715</v>
      </c>
      <c r="W1095">
        <v>1537.5</v>
      </c>
      <c r="X1095" t="b">
        <v>0</v>
      </c>
    </row>
    <row r="1096" spans="1:24" x14ac:dyDescent="0.25">
      <c r="A1096">
        <v>1095</v>
      </c>
      <c r="B1096" t="s">
        <v>2340</v>
      </c>
      <c r="C1096">
        <v>6</v>
      </c>
      <c r="D1096">
        <v>33</v>
      </c>
      <c r="E1096">
        <v>99</v>
      </c>
      <c r="F1096">
        <v>1</v>
      </c>
      <c r="G1096">
        <v>1</v>
      </c>
      <c r="H1096">
        <v>4</v>
      </c>
      <c r="I1096">
        <v>2</v>
      </c>
      <c r="J1096">
        <v>861</v>
      </c>
      <c r="K1096">
        <v>3509</v>
      </c>
      <c r="L1096">
        <v>1.5</v>
      </c>
      <c r="M1096">
        <v>416</v>
      </c>
      <c r="N1096">
        <v>1405</v>
      </c>
      <c r="O1096">
        <v>1.5</v>
      </c>
      <c r="P1096">
        <v>105</v>
      </c>
      <c r="Q1096">
        <v>231</v>
      </c>
      <c r="R1096">
        <v>1.5</v>
      </c>
      <c r="S1096">
        <v>4000000</v>
      </c>
      <c r="T1096" t="s">
        <v>1716</v>
      </c>
      <c r="U1096" t="s">
        <v>127</v>
      </c>
      <c r="V1096" t="s">
        <v>292</v>
      </c>
      <c r="W1096">
        <v>1462.5</v>
      </c>
      <c r="X1096" t="b">
        <v>0</v>
      </c>
    </row>
    <row r="1097" spans="1:24" x14ac:dyDescent="0.25">
      <c r="A1097">
        <v>1096</v>
      </c>
      <c r="B1097" t="s">
        <v>2341</v>
      </c>
      <c r="C1097">
        <v>6</v>
      </c>
      <c r="D1097">
        <v>33</v>
      </c>
      <c r="E1097">
        <v>99</v>
      </c>
      <c r="F1097">
        <v>2</v>
      </c>
      <c r="G1097">
        <v>2</v>
      </c>
      <c r="H1097">
        <v>4</v>
      </c>
      <c r="I1097">
        <v>1</v>
      </c>
      <c r="J1097">
        <v>777</v>
      </c>
      <c r="K1097">
        <v>2960</v>
      </c>
      <c r="L1097">
        <v>1.5</v>
      </c>
      <c r="M1097">
        <v>451</v>
      </c>
      <c r="N1097">
        <v>1512</v>
      </c>
      <c r="O1097">
        <v>1.5</v>
      </c>
      <c r="P1097">
        <v>95</v>
      </c>
      <c r="Q1097">
        <v>301</v>
      </c>
      <c r="R1097">
        <v>1.5</v>
      </c>
      <c r="S1097">
        <v>4000000</v>
      </c>
      <c r="T1097" t="s">
        <v>1717</v>
      </c>
      <c r="U1097" t="s">
        <v>135</v>
      </c>
      <c r="V1097" t="s">
        <v>295</v>
      </c>
      <c r="W1097">
        <v>1462.5</v>
      </c>
      <c r="X1097" t="b">
        <v>0</v>
      </c>
    </row>
    <row r="1098" spans="1:24" x14ac:dyDescent="0.25">
      <c r="A1098">
        <v>1097</v>
      </c>
      <c r="B1098" t="s">
        <v>2342</v>
      </c>
      <c r="C1098">
        <v>6</v>
      </c>
      <c r="D1098">
        <v>40</v>
      </c>
      <c r="E1098">
        <v>50</v>
      </c>
      <c r="F1098">
        <v>2</v>
      </c>
      <c r="G1098" t="s">
        <v>112</v>
      </c>
      <c r="H1098">
        <v>5</v>
      </c>
      <c r="I1098">
        <v>2</v>
      </c>
      <c r="J1098">
        <v>906</v>
      </c>
      <c r="K1098">
        <v>2174</v>
      </c>
      <c r="L1098">
        <v>1</v>
      </c>
      <c r="M1098">
        <v>449</v>
      </c>
      <c r="N1098">
        <v>763</v>
      </c>
      <c r="O1098">
        <v>1</v>
      </c>
      <c r="P1098">
        <v>63</v>
      </c>
      <c r="Q1098">
        <v>107</v>
      </c>
      <c r="R1098">
        <v>1</v>
      </c>
      <c r="S1098">
        <v>5000000</v>
      </c>
      <c r="T1098" t="s">
        <v>2343</v>
      </c>
      <c r="U1098" t="s">
        <v>2344</v>
      </c>
      <c r="W1098">
        <v>1725</v>
      </c>
      <c r="X1098" t="b">
        <v>0</v>
      </c>
    </row>
    <row r="1099" spans="1:24" x14ac:dyDescent="0.25">
      <c r="A1099">
        <v>1098</v>
      </c>
      <c r="B1099" t="s">
        <v>2345</v>
      </c>
      <c r="C1099">
        <v>7</v>
      </c>
      <c r="D1099">
        <v>60</v>
      </c>
      <c r="E1099">
        <v>99</v>
      </c>
      <c r="F1099">
        <v>2</v>
      </c>
      <c r="G1099">
        <v>3</v>
      </c>
      <c r="H1099">
        <v>5</v>
      </c>
      <c r="I1099">
        <v>2</v>
      </c>
      <c r="J1099">
        <v>1739</v>
      </c>
      <c r="K1099">
        <v>4348</v>
      </c>
      <c r="L1099">
        <v>1</v>
      </c>
      <c r="M1099">
        <v>687</v>
      </c>
      <c r="N1099">
        <v>1337</v>
      </c>
      <c r="O1099">
        <v>1</v>
      </c>
      <c r="P1099">
        <v>96</v>
      </c>
      <c r="Q1099">
        <v>173</v>
      </c>
      <c r="R1099">
        <v>1</v>
      </c>
      <c r="S1099">
        <v>5000000</v>
      </c>
      <c r="T1099" t="s">
        <v>2343</v>
      </c>
      <c r="U1099" t="s">
        <v>2344</v>
      </c>
      <c r="V1099" t="s">
        <v>1718</v>
      </c>
      <c r="W1099">
        <v>2512.5</v>
      </c>
      <c r="X1099" t="b">
        <v>0</v>
      </c>
    </row>
    <row r="1100" spans="1:24" x14ac:dyDescent="0.25">
      <c r="A1100">
        <v>1099</v>
      </c>
      <c r="B1100" t="s">
        <v>1719</v>
      </c>
      <c r="C1100">
        <v>6</v>
      </c>
      <c r="D1100">
        <v>23</v>
      </c>
      <c r="E1100">
        <v>99</v>
      </c>
      <c r="F1100">
        <v>0</v>
      </c>
      <c r="G1100">
        <v>0</v>
      </c>
      <c r="H1100">
        <v>3</v>
      </c>
      <c r="I1100" t="s">
        <v>112</v>
      </c>
      <c r="J1100">
        <v>672</v>
      </c>
      <c r="K1100">
        <v>1277</v>
      </c>
      <c r="L1100">
        <v>1</v>
      </c>
      <c r="M1100">
        <v>452</v>
      </c>
      <c r="N1100">
        <v>1349</v>
      </c>
      <c r="O1100">
        <v>1</v>
      </c>
      <c r="P1100">
        <v>406</v>
      </c>
      <c r="Q1100">
        <v>650</v>
      </c>
      <c r="R1100">
        <v>1</v>
      </c>
      <c r="S1100">
        <v>4000000</v>
      </c>
      <c r="T1100" t="s">
        <v>1720</v>
      </c>
      <c r="U1100" t="s">
        <v>251</v>
      </c>
      <c r="V1100" t="s">
        <v>422</v>
      </c>
      <c r="W1100">
        <v>1087.5</v>
      </c>
      <c r="X1100" t="b">
        <v>0</v>
      </c>
    </row>
    <row r="1101" spans="1:24" x14ac:dyDescent="0.25">
      <c r="A1101">
        <v>1100</v>
      </c>
      <c r="B1101" t="s">
        <v>2428</v>
      </c>
      <c r="C1101">
        <v>6</v>
      </c>
      <c r="D1101">
        <v>23</v>
      </c>
      <c r="E1101">
        <v>99</v>
      </c>
      <c r="F1101">
        <v>1</v>
      </c>
      <c r="G1101">
        <v>1</v>
      </c>
      <c r="H1101">
        <v>3</v>
      </c>
      <c r="I1101" t="s">
        <v>112</v>
      </c>
      <c r="J1101">
        <v>690</v>
      </c>
      <c r="K1101">
        <v>2011</v>
      </c>
      <c r="L1101">
        <v>1</v>
      </c>
      <c r="M1101">
        <v>436</v>
      </c>
      <c r="N1101">
        <v>1185</v>
      </c>
      <c r="O1101">
        <v>1</v>
      </c>
      <c r="P1101">
        <v>432</v>
      </c>
      <c r="Q1101">
        <v>691</v>
      </c>
      <c r="R1101">
        <v>1</v>
      </c>
      <c r="S1101">
        <v>4000000</v>
      </c>
      <c r="T1101" t="s">
        <v>2429</v>
      </c>
      <c r="U1101" t="s">
        <v>189</v>
      </c>
      <c r="V1101" t="s">
        <v>424</v>
      </c>
      <c r="W1101">
        <v>1087.5</v>
      </c>
      <c r="X1101" t="b">
        <v>0</v>
      </c>
    </row>
    <row r="1102" spans="1:24" x14ac:dyDescent="0.25">
      <c r="A1102">
        <v>1101</v>
      </c>
      <c r="B1102" t="s">
        <v>1721</v>
      </c>
      <c r="C1102">
        <v>6</v>
      </c>
      <c r="D1102">
        <v>23</v>
      </c>
      <c r="E1102">
        <v>99</v>
      </c>
      <c r="F1102">
        <v>2</v>
      </c>
      <c r="G1102">
        <v>2</v>
      </c>
      <c r="H1102">
        <v>3</v>
      </c>
      <c r="I1102" t="s">
        <v>112</v>
      </c>
      <c r="J1102">
        <v>644</v>
      </c>
      <c r="K1102">
        <v>2324</v>
      </c>
      <c r="L1102">
        <v>1</v>
      </c>
      <c r="M1102">
        <v>431</v>
      </c>
      <c r="N1102">
        <v>1019</v>
      </c>
      <c r="O1102">
        <v>1</v>
      </c>
      <c r="P1102">
        <v>448</v>
      </c>
      <c r="Q1102">
        <v>717</v>
      </c>
      <c r="R1102">
        <v>1</v>
      </c>
      <c r="S1102">
        <v>4000000</v>
      </c>
      <c r="T1102" t="s">
        <v>1722</v>
      </c>
      <c r="U1102" t="s">
        <v>258</v>
      </c>
      <c r="V1102" t="s">
        <v>427</v>
      </c>
      <c r="W1102">
        <v>1087.5</v>
      </c>
      <c r="X1102" t="b">
        <v>0</v>
      </c>
    </row>
    <row r="1103" spans="1:24" x14ac:dyDescent="0.25">
      <c r="A1103">
        <v>1102</v>
      </c>
      <c r="B1103" t="s">
        <v>1723</v>
      </c>
      <c r="C1103">
        <v>6</v>
      </c>
      <c r="D1103">
        <v>23</v>
      </c>
      <c r="E1103">
        <v>99</v>
      </c>
      <c r="F1103">
        <v>2</v>
      </c>
      <c r="G1103">
        <v>3</v>
      </c>
      <c r="H1103">
        <v>1</v>
      </c>
      <c r="I1103" t="s">
        <v>112</v>
      </c>
      <c r="J1103">
        <v>644</v>
      </c>
      <c r="K1103">
        <v>2524</v>
      </c>
      <c r="L1103">
        <v>1</v>
      </c>
      <c r="M1103">
        <v>431</v>
      </c>
      <c r="N1103">
        <v>1099</v>
      </c>
      <c r="O1103">
        <v>1</v>
      </c>
      <c r="P1103">
        <v>448</v>
      </c>
      <c r="Q1103">
        <v>518</v>
      </c>
      <c r="R1103">
        <v>1</v>
      </c>
      <c r="S1103">
        <v>4000000</v>
      </c>
      <c r="T1103" t="s">
        <v>1725</v>
      </c>
      <c r="U1103" t="s">
        <v>258</v>
      </c>
      <c r="V1103" t="s">
        <v>1724</v>
      </c>
      <c r="W1103">
        <v>1087.5</v>
      </c>
      <c r="X1103" t="b">
        <v>0</v>
      </c>
    </row>
    <row r="1104" spans="1:24" x14ac:dyDescent="0.25">
      <c r="A1104">
        <v>1103</v>
      </c>
      <c r="B1104" t="s">
        <v>1726</v>
      </c>
      <c r="C1104">
        <v>6</v>
      </c>
      <c r="D1104">
        <v>23</v>
      </c>
      <c r="E1104">
        <v>99</v>
      </c>
      <c r="F1104">
        <v>3</v>
      </c>
      <c r="G1104">
        <v>1</v>
      </c>
      <c r="H1104">
        <v>3</v>
      </c>
      <c r="I1104">
        <v>5</v>
      </c>
      <c r="J1104">
        <v>654</v>
      </c>
      <c r="K1104">
        <v>2203</v>
      </c>
      <c r="L1104">
        <v>1</v>
      </c>
      <c r="M1104">
        <v>415</v>
      </c>
      <c r="N1104">
        <v>1020</v>
      </c>
      <c r="O1104">
        <v>1</v>
      </c>
      <c r="P1104">
        <v>456</v>
      </c>
      <c r="Q1104">
        <v>760</v>
      </c>
      <c r="R1104">
        <v>1</v>
      </c>
      <c r="S1104">
        <v>4000000</v>
      </c>
      <c r="T1104" t="s">
        <v>344</v>
      </c>
      <c r="U1104" t="s">
        <v>7</v>
      </c>
      <c r="V1104" t="s">
        <v>429</v>
      </c>
      <c r="W1104">
        <v>1087.5</v>
      </c>
      <c r="X1104" t="b">
        <v>0</v>
      </c>
    </row>
    <row r="1105" spans="1:24" x14ac:dyDescent="0.25">
      <c r="A1105">
        <v>1104</v>
      </c>
      <c r="B1105" t="s">
        <v>1727</v>
      </c>
      <c r="C1105">
        <v>6</v>
      </c>
      <c r="D1105">
        <v>23</v>
      </c>
      <c r="E1105">
        <v>99</v>
      </c>
      <c r="F1105">
        <v>3</v>
      </c>
      <c r="G1105">
        <v>3</v>
      </c>
      <c r="H1105">
        <v>3</v>
      </c>
      <c r="I1105">
        <v>5</v>
      </c>
      <c r="J1105">
        <v>654</v>
      </c>
      <c r="K1105">
        <v>1530</v>
      </c>
      <c r="L1105">
        <v>1</v>
      </c>
      <c r="M1105">
        <v>415</v>
      </c>
      <c r="N1105">
        <v>1160</v>
      </c>
      <c r="O1105">
        <v>1</v>
      </c>
      <c r="P1105">
        <v>456</v>
      </c>
      <c r="Q1105">
        <v>730</v>
      </c>
      <c r="R1105">
        <v>1</v>
      </c>
      <c r="S1105">
        <v>4000000</v>
      </c>
      <c r="T1105" t="s">
        <v>1729</v>
      </c>
      <c r="U1105" t="s">
        <v>7</v>
      </c>
      <c r="V1105" t="s">
        <v>1728</v>
      </c>
      <c r="W1105">
        <v>1087.5</v>
      </c>
      <c r="X1105" t="b">
        <v>0</v>
      </c>
    </row>
    <row r="1106" spans="1:24" x14ac:dyDescent="0.25">
      <c r="A1106">
        <v>1105</v>
      </c>
      <c r="B1106" t="s">
        <v>2430</v>
      </c>
      <c r="C1106">
        <v>6</v>
      </c>
      <c r="D1106">
        <v>23</v>
      </c>
      <c r="E1106">
        <v>99</v>
      </c>
      <c r="F1106">
        <v>4</v>
      </c>
      <c r="G1106">
        <v>3</v>
      </c>
      <c r="H1106">
        <v>6</v>
      </c>
      <c r="I1106">
        <v>7</v>
      </c>
      <c r="J1106">
        <v>672</v>
      </c>
      <c r="K1106">
        <v>1427</v>
      </c>
      <c r="L1106">
        <v>1</v>
      </c>
      <c r="M1106">
        <v>473</v>
      </c>
      <c r="N1106">
        <v>1458</v>
      </c>
      <c r="O1106">
        <v>1</v>
      </c>
      <c r="P1106">
        <v>399</v>
      </c>
      <c r="Q1106">
        <v>608</v>
      </c>
      <c r="R1106">
        <v>1</v>
      </c>
      <c r="S1106">
        <v>4000000</v>
      </c>
      <c r="T1106" t="s">
        <v>2431</v>
      </c>
      <c r="U1106" t="s">
        <v>264</v>
      </c>
      <c r="V1106" t="s">
        <v>2346</v>
      </c>
      <c r="W1106">
        <v>1087.5</v>
      </c>
      <c r="X1106" t="b">
        <v>0</v>
      </c>
    </row>
    <row r="1107" spans="1:24" x14ac:dyDescent="0.25">
      <c r="A1107">
        <v>1106</v>
      </c>
      <c r="B1107" t="s">
        <v>2432</v>
      </c>
      <c r="C1107">
        <v>6</v>
      </c>
      <c r="D1107">
        <v>23</v>
      </c>
      <c r="E1107">
        <v>99</v>
      </c>
      <c r="F1107">
        <v>4</v>
      </c>
      <c r="G1107">
        <v>4</v>
      </c>
      <c r="H1107">
        <v>3</v>
      </c>
      <c r="I1107">
        <v>7</v>
      </c>
      <c r="J1107">
        <v>672</v>
      </c>
      <c r="K1107">
        <v>2077</v>
      </c>
      <c r="L1107">
        <v>1</v>
      </c>
      <c r="M1107">
        <v>473</v>
      </c>
      <c r="N1107">
        <v>1188</v>
      </c>
      <c r="O1107">
        <v>1</v>
      </c>
      <c r="P1107">
        <v>399</v>
      </c>
      <c r="Q1107">
        <v>688</v>
      </c>
      <c r="R1107">
        <v>1</v>
      </c>
      <c r="S1107">
        <v>4000000</v>
      </c>
      <c r="T1107" t="s">
        <v>2433</v>
      </c>
      <c r="U1107" t="s">
        <v>264</v>
      </c>
      <c r="V1107" t="s">
        <v>431</v>
      </c>
      <c r="W1107">
        <v>1087.5</v>
      </c>
      <c r="X1107" t="b">
        <v>0</v>
      </c>
    </row>
    <row r="1108" spans="1:24" x14ac:dyDescent="0.25">
      <c r="A1108">
        <v>1107</v>
      </c>
      <c r="B1108" t="s">
        <v>2347</v>
      </c>
      <c r="C1108">
        <v>6</v>
      </c>
      <c r="D1108">
        <v>30</v>
      </c>
      <c r="E1108">
        <v>50</v>
      </c>
      <c r="F1108">
        <v>0</v>
      </c>
      <c r="G1108" t="s">
        <v>112</v>
      </c>
      <c r="H1108">
        <v>5</v>
      </c>
      <c r="I1108" t="s">
        <v>112</v>
      </c>
      <c r="J1108">
        <v>1098</v>
      </c>
      <c r="K1108">
        <v>2306</v>
      </c>
      <c r="L1108">
        <v>1</v>
      </c>
      <c r="M1108">
        <v>1164</v>
      </c>
      <c r="N1108">
        <v>1513</v>
      </c>
      <c r="O1108">
        <v>1</v>
      </c>
      <c r="P1108">
        <v>29</v>
      </c>
      <c r="Q1108">
        <v>58</v>
      </c>
      <c r="R1108">
        <v>1</v>
      </c>
      <c r="S1108">
        <v>4000000</v>
      </c>
      <c r="T1108" t="s">
        <v>695</v>
      </c>
      <c r="U1108" t="s">
        <v>1730</v>
      </c>
      <c r="W1108">
        <v>1350</v>
      </c>
      <c r="X1108" t="b">
        <v>0</v>
      </c>
    </row>
    <row r="1109" spans="1:24" x14ac:dyDescent="0.25">
      <c r="A1109">
        <v>1108</v>
      </c>
      <c r="B1109" t="s">
        <v>2348</v>
      </c>
      <c r="C1109">
        <v>7</v>
      </c>
      <c r="D1109">
        <v>50</v>
      </c>
      <c r="E1109">
        <v>99</v>
      </c>
      <c r="F1109">
        <v>0</v>
      </c>
      <c r="G1109">
        <v>4</v>
      </c>
      <c r="H1109">
        <v>5</v>
      </c>
      <c r="I1109">
        <v>6</v>
      </c>
      <c r="J1109">
        <v>1845</v>
      </c>
      <c r="K1109">
        <v>4059</v>
      </c>
      <c r="L1109">
        <v>1</v>
      </c>
      <c r="M1109">
        <v>1362</v>
      </c>
      <c r="N1109">
        <v>2043</v>
      </c>
      <c r="O1109">
        <v>1</v>
      </c>
      <c r="P1109">
        <v>52</v>
      </c>
      <c r="Q1109">
        <v>154</v>
      </c>
      <c r="R1109">
        <v>1</v>
      </c>
      <c r="S1109">
        <v>4000000</v>
      </c>
      <c r="T1109" t="s">
        <v>1732</v>
      </c>
      <c r="U1109" t="s">
        <v>1730</v>
      </c>
      <c r="V1109" t="s">
        <v>1731</v>
      </c>
      <c r="W1109">
        <v>2137.5</v>
      </c>
      <c r="X1109" t="b">
        <v>0</v>
      </c>
    </row>
    <row r="1110" spans="1:24" x14ac:dyDescent="0.25">
      <c r="A1110">
        <v>1109</v>
      </c>
      <c r="B1110" t="s">
        <v>2349</v>
      </c>
      <c r="C1110">
        <v>6</v>
      </c>
      <c r="D1110">
        <v>33</v>
      </c>
      <c r="E1110">
        <v>99</v>
      </c>
      <c r="F1110">
        <v>0</v>
      </c>
      <c r="G1110">
        <v>0</v>
      </c>
      <c r="H1110">
        <v>4</v>
      </c>
      <c r="I1110">
        <v>7</v>
      </c>
      <c r="J1110">
        <v>798</v>
      </c>
      <c r="K1110">
        <v>2857</v>
      </c>
      <c r="L1110">
        <v>1.5</v>
      </c>
      <c r="M1110">
        <v>421</v>
      </c>
      <c r="N1110">
        <v>1538</v>
      </c>
      <c r="O1110">
        <v>1.5</v>
      </c>
      <c r="P1110">
        <v>105</v>
      </c>
      <c r="Q1110">
        <v>220</v>
      </c>
      <c r="R1110">
        <v>1.5</v>
      </c>
      <c r="S1110">
        <v>4000000</v>
      </c>
      <c r="T1110" t="s">
        <v>2350</v>
      </c>
      <c r="U1110" t="s">
        <v>118</v>
      </c>
      <c r="V1110" t="s">
        <v>288</v>
      </c>
      <c r="W1110">
        <v>1462.5</v>
      </c>
      <c r="X1110" t="b">
        <v>0</v>
      </c>
    </row>
    <row r="1111" spans="1:24" x14ac:dyDescent="0.25">
      <c r="A1111">
        <v>1110</v>
      </c>
      <c r="B1111" t="s">
        <v>2351</v>
      </c>
      <c r="C1111">
        <v>6</v>
      </c>
      <c r="D1111">
        <v>33</v>
      </c>
      <c r="E1111">
        <v>99</v>
      </c>
      <c r="F1111">
        <v>3</v>
      </c>
      <c r="G1111">
        <v>3</v>
      </c>
      <c r="H1111">
        <v>4</v>
      </c>
      <c r="I1111">
        <v>5</v>
      </c>
      <c r="J1111">
        <v>756</v>
      </c>
      <c r="K1111">
        <v>2857</v>
      </c>
      <c r="L1111">
        <v>1.5</v>
      </c>
      <c r="M1111">
        <v>426</v>
      </c>
      <c r="N1111">
        <v>1413</v>
      </c>
      <c r="O1111">
        <v>1.5</v>
      </c>
      <c r="P1111">
        <v>121</v>
      </c>
      <c r="Q1111">
        <v>295</v>
      </c>
      <c r="R1111">
        <v>1.5</v>
      </c>
      <c r="S1111">
        <v>4000000</v>
      </c>
      <c r="T1111" t="s">
        <v>2352</v>
      </c>
      <c r="U1111" t="s">
        <v>143</v>
      </c>
      <c r="V1111" t="s">
        <v>299</v>
      </c>
      <c r="W1111">
        <v>1462.5</v>
      </c>
      <c r="X1111" t="b">
        <v>0</v>
      </c>
    </row>
    <row r="1112" spans="1:24" x14ac:dyDescent="0.25">
      <c r="A1112">
        <v>1111</v>
      </c>
      <c r="B1112" t="s">
        <v>2353</v>
      </c>
      <c r="C1112">
        <v>6</v>
      </c>
      <c r="D1112">
        <v>33</v>
      </c>
      <c r="E1112">
        <v>99</v>
      </c>
      <c r="F1112">
        <v>4</v>
      </c>
      <c r="G1112">
        <v>4</v>
      </c>
      <c r="H1112">
        <v>4</v>
      </c>
      <c r="I1112">
        <v>6</v>
      </c>
      <c r="J1112">
        <v>812</v>
      </c>
      <c r="K1112">
        <v>2500</v>
      </c>
      <c r="L1112">
        <v>1.5</v>
      </c>
      <c r="M1112">
        <v>457</v>
      </c>
      <c r="N1112">
        <v>1754</v>
      </c>
      <c r="O1112">
        <v>1.5</v>
      </c>
      <c r="P1112">
        <v>74</v>
      </c>
      <c r="Q1112">
        <v>198</v>
      </c>
      <c r="R1112">
        <v>1.5</v>
      </c>
      <c r="S1112">
        <v>4000000</v>
      </c>
      <c r="T1112" t="s">
        <v>2354</v>
      </c>
      <c r="U1112" t="s">
        <v>151</v>
      </c>
      <c r="V1112" t="s">
        <v>303</v>
      </c>
      <c r="W1112">
        <v>1462.5</v>
      </c>
      <c r="X1112" t="b">
        <v>0</v>
      </c>
    </row>
    <row r="1113" spans="1:24" x14ac:dyDescent="0.25">
      <c r="A1113">
        <v>1112</v>
      </c>
      <c r="B1113" t="s">
        <v>2355</v>
      </c>
      <c r="C1113">
        <v>7</v>
      </c>
      <c r="D1113">
        <v>35</v>
      </c>
      <c r="E1113">
        <v>99</v>
      </c>
      <c r="F1113">
        <v>0</v>
      </c>
      <c r="G1113">
        <v>1</v>
      </c>
      <c r="H1113">
        <v>5</v>
      </c>
      <c r="I1113">
        <v>2</v>
      </c>
      <c r="J1113">
        <v>1586</v>
      </c>
      <c r="K1113">
        <v>3931</v>
      </c>
      <c r="L1113">
        <v>1.5</v>
      </c>
      <c r="M1113">
        <v>968</v>
      </c>
      <c r="N1113">
        <v>1452</v>
      </c>
      <c r="O1113">
        <v>1.5</v>
      </c>
      <c r="P1113">
        <v>83</v>
      </c>
      <c r="Q1113">
        <v>125</v>
      </c>
      <c r="R1113">
        <v>1.5</v>
      </c>
      <c r="S1113">
        <v>4000000</v>
      </c>
      <c r="T1113" t="s">
        <v>2356</v>
      </c>
      <c r="U1113" t="s">
        <v>2167</v>
      </c>
      <c r="V1113" t="s">
        <v>1733</v>
      </c>
      <c r="W1113">
        <v>1575</v>
      </c>
      <c r="X1113" t="b">
        <v>0</v>
      </c>
    </row>
    <row r="1114" spans="1:24" x14ac:dyDescent="0.25">
      <c r="A1114">
        <v>1113</v>
      </c>
      <c r="B1114" t="s">
        <v>2357</v>
      </c>
      <c r="C1114">
        <v>7</v>
      </c>
      <c r="D1114">
        <v>35</v>
      </c>
      <c r="E1114">
        <v>99</v>
      </c>
      <c r="F1114">
        <v>0</v>
      </c>
      <c r="G1114">
        <v>4</v>
      </c>
      <c r="H1114">
        <v>5</v>
      </c>
      <c r="I1114">
        <v>7</v>
      </c>
      <c r="J1114">
        <v>1586</v>
      </c>
      <c r="K1114">
        <v>3331</v>
      </c>
      <c r="L1114">
        <v>1.5</v>
      </c>
      <c r="M1114">
        <v>968</v>
      </c>
      <c r="N1114">
        <v>1802</v>
      </c>
      <c r="O1114">
        <v>1.5</v>
      </c>
      <c r="P1114">
        <v>83</v>
      </c>
      <c r="Q1114">
        <v>125</v>
      </c>
      <c r="R1114">
        <v>1.5</v>
      </c>
      <c r="S1114">
        <v>4000000</v>
      </c>
      <c r="T1114" t="s">
        <v>2358</v>
      </c>
      <c r="U1114" t="s">
        <v>2167</v>
      </c>
      <c r="V1114" t="s">
        <v>1733</v>
      </c>
      <c r="W1114">
        <v>1575</v>
      </c>
      <c r="X1114" t="b">
        <v>0</v>
      </c>
    </row>
    <row r="1115" spans="1:24" x14ac:dyDescent="0.25">
      <c r="A1115">
        <v>1114</v>
      </c>
      <c r="B1115" t="s">
        <v>2359</v>
      </c>
      <c r="C1115">
        <v>7</v>
      </c>
      <c r="D1115">
        <v>35</v>
      </c>
      <c r="E1115">
        <v>99</v>
      </c>
      <c r="F1115">
        <v>1</v>
      </c>
      <c r="G1115">
        <v>2</v>
      </c>
      <c r="H1115">
        <v>5</v>
      </c>
      <c r="I1115">
        <v>3</v>
      </c>
      <c r="J1115">
        <v>1046</v>
      </c>
      <c r="K1115">
        <v>2197</v>
      </c>
      <c r="L1115">
        <v>1.5</v>
      </c>
      <c r="M1115">
        <v>824</v>
      </c>
      <c r="N1115">
        <v>1286</v>
      </c>
      <c r="O1115">
        <v>1.5</v>
      </c>
      <c r="P1115">
        <v>440</v>
      </c>
      <c r="Q1115">
        <v>760</v>
      </c>
      <c r="R1115">
        <v>1.5</v>
      </c>
      <c r="S1115">
        <v>4000000</v>
      </c>
      <c r="T1115" t="s">
        <v>2360</v>
      </c>
      <c r="U1115" t="s">
        <v>497</v>
      </c>
      <c r="V1115" t="s">
        <v>1734</v>
      </c>
      <c r="W1115">
        <v>1575</v>
      </c>
      <c r="X1115" t="b">
        <v>0</v>
      </c>
    </row>
    <row r="1116" spans="1:24" x14ac:dyDescent="0.25">
      <c r="A1116">
        <v>1115</v>
      </c>
      <c r="B1116" t="s">
        <v>2361</v>
      </c>
      <c r="C1116">
        <v>7</v>
      </c>
      <c r="D1116">
        <v>35</v>
      </c>
      <c r="E1116">
        <v>99</v>
      </c>
      <c r="F1116">
        <v>1</v>
      </c>
      <c r="G1116">
        <v>3</v>
      </c>
      <c r="H1116">
        <v>5</v>
      </c>
      <c r="I1116">
        <v>1</v>
      </c>
      <c r="J1116">
        <v>1046</v>
      </c>
      <c r="K1116">
        <v>2597</v>
      </c>
      <c r="L1116">
        <v>1.5</v>
      </c>
      <c r="M1116">
        <v>824</v>
      </c>
      <c r="N1116">
        <v>1386</v>
      </c>
      <c r="O1116">
        <v>1.5</v>
      </c>
      <c r="P1116">
        <v>440</v>
      </c>
      <c r="Q1116">
        <v>510</v>
      </c>
      <c r="R1116">
        <v>1.5</v>
      </c>
      <c r="S1116">
        <v>4000000</v>
      </c>
      <c r="T1116" t="s">
        <v>2362</v>
      </c>
      <c r="U1116" t="s">
        <v>497</v>
      </c>
      <c r="V1116" t="s">
        <v>1735</v>
      </c>
      <c r="W1116">
        <v>1575</v>
      </c>
      <c r="X1116" t="b">
        <v>0</v>
      </c>
    </row>
    <row r="1117" spans="1:24" x14ac:dyDescent="0.25">
      <c r="A1117">
        <v>1116</v>
      </c>
      <c r="B1117" t="s">
        <v>2363</v>
      </c>
      <c r="C1117">
        <v>7</v>
      </c>
      <c r="D1117">
        <v>35</v>
      </c>
      <c r="E1117">
        <v>99</v>
      </c>
      <c r="F1117">
        <v>2</v>
      </c>
      <c r="G1117">
        <v>0</v>
      </c>
      <c r="H1117">
        <v>5</v>
      </c>
      <c r="I1117">
        <v>1</v>
      </c>
      <c r="J1117">
        <v>1306</v>
      </c>
      <c r="K1117">
        <v>2843</v>
      </c>
      <c r="L1117">
        <v>1.5</v>
      </c>
      <c r="M1117">
        <v>904</v>
      </c>
      <c r="N1117">
        <v>1406</v>
      </c>
      <c r="O1117">
        <v>1.5</v>
      </c>
      <c r="P1117">
        <v>295</v>
      </c>
      <c r="Q1117">
        <v>473</v>
      </c>
      <c r="R1117">
        <v>1.5</v>
      </c>
      <c r="S1117">
        <v>4000000</v>
      </c>
      <c r="T1117" t="s">
        <v>2364</v>
      </c>
      <c r="U1117" t="s">
        <v>501</v>
      </c>
      <c r="V1117" t="s">
        <v>1736</v>
      </c>
      <c r="W1117">
        <v>1575</v>
      </c>
      <c r="X1117" t="b">
        <v>0</v>
      </c>
    </row>
    <row r="1118" spans="1:24" x14ac:dyDescent="0.25">
      <c r="A1118">
        <v>1117</v>
      </c>
      <c r="B1118" t="s">
        <v>2365</v>
      </c>
      <c r="C1118">
        <v>7</v>
      </c>
      <c r="D1118">
        <v>35</v>
      </c>
      <c r="E1118">
        <v>99</v>
      </c>
      <c r="F1118">
        <v>2</v>
      </c>
      <c r="G1118">
        <v>3</v>
      </c>
      <c r="H1118">
        <v>5</v>
      </c>
      <c r="I1118">
        <v>2</v>
      </c>
      <c r="J1118">
        <v>1306</v>
      </c>
      <c r="K1118">
        <v>3543</v>
      </c>
      <c r="L1118">
        <v>1.5</v>
      </c>
      <c r="M1118">
        <v>904</v>
      </c>
      <c r="N1118">
        <v>1226</v>
      </c>
      <c r="O1118">
        <v>1.5</v>
      </c>
      <c r="P1118">
        <v>295</v>
      </c>
      <c r="Q1118">
        <v>483</v>
      </c>
      <c r="R1118">
        <v>1.5</v>
      </c>
      <c r="S1118">
        <v>4000000</v>
      </c>
      <c r="T1118" t="s">
        <v>2366</v>
      </c>
      <c r="U1118" t="s">
        <v>501</v>
      </c>
      <c r="V1118" t="s">
        <v>1737</v>
      </c>
      <c r="W1118">
        <v>1575</v>
      </c>
      <c r="X1118" t="b">
        <v>0</v>
      </c>
    </row>
    <row r="1119" spans="1:24" x14ac:dyDescent="0.25">
      <c r="A1119">
        <v>1118</v>
      </c>
      <c r="B1119" t="s">
        <v>2625</v>
      </c>
      <c r="C1119">
        <v>6</v>
      </c>
      <c r="D1119">
        <v>40</v>
      </c>
      <c r="E1119">
        <v>50</v>
      </c>
      <c r="F1119">
        <v>3</v>
      </c>
      <c r="G1119" t="s">
        <v>112</v>
      </c>
      <c r="H1119">
        <v>5</v>
      </c>
      <c r="I1119">
        <v>3</v>
      </c>
      <c r="J1119">
        <v>572</v>
      </c>
      <c r="K1119">
        <v>1373</v>
      </c>
      <c r="L1119">
        <v>1</v>
      </c>
      <c r="M1119">
        <v>410</v>
      </c>
      <c r="N1119">
        <v>820</v>
      </c>
      <c r="O1119">
        <v>1</v>
      </c>
      <c r="P1119">
        <v>217</v>
      </c>
      <c r="Q1119">
        <v>456</v>
      </c>
      <c r="R1119">
        <v>1</v>
      </c>
      <c r="S1119">
        <v>5000000</v>
      </c>
      <c r="T1119" t="s">
        <v>2626</v>
      </c>
      <c r="U1119" t="s">
        <v>2434</v>
      </c>
      <c r="W1119">
        <v>1725</v>
      </c>
      <c r="X1119" t="b">
        <v>0</v>
      </c>
    </row>
    <row r="1120" spans="1:24" x14ac:dyDescent="0.25">
      <c r="A1120">
        <v>1119</v>
      </c>
      <c r="B1120" t="s">
        <v>2627</v>
      </c>
      <c r="C1120">
        <v>7</v>
      </c>
      <c r="D1120">
        <v>60</v>
      </c>
      <c r="E1120">
        <v>99</v>
      </c>
      <c r="F1120">
        <v>3</v>
      </c>
      <c r="G1120">
        <v>1</v>
      </c>
      <c r="H1120">
        <v>5</v>
      </c>
      <c r="I1120">
        <v>3</v>
      </c>
      <c r="J1120">
        <v>1098</v>
      </c>
      <c r="K1120">
        <v>2645</v>
      </c>
      <c r="L1120">
        <v>1</v>
      </c>
      <c r="M1120">
        <v>738</v>
      </c>
      <c r="N1120">
        <v>1207</v>
      </c>
      <c r="O1120">
        <v>1</v>
      </c>
      <c r="P1120">
        <v>410</v>
      </c>
      <c r="Q1120">
        <v>615</v>
      </c>
      <c r="R1120">
        <v>1</v>
      </c>
      <c r="S1120">
        <v>5000000</v>
      </c>
      <c r="T1120" t="s">
        <v>2626</v>
      </c>
      <c r="U1120" t="s">
        <v>2434</v>
      </c>
      <c r="V1120" t="s">
        <v>2435</v>
      </c>
      <c r="W1120">
        <v>2512.5</v>
      </c>
      <c r="X1120" t="b">
        <v>0</v>
      </c>
    </row>
    <row r="1121" spans="1:24" x14ac:dyDescent="0.25">
      <c r="A1121">
        <v>1120</v>
      </c>
      <c r="B1121" t="s">
        <v>2106</v>
      </c>
      <c r="C1121">
        <v>4</v>
      </c>
      <c r="D1121">
        <v>15</v>
      </c>
      <c r="E1121">
        <v>50</v>
      </c>
      <c r="F1121">
        <v>0</v>
      </c>
      <c r="G1121" t="s">
        <v>112</v>
      </c>
      <c r="H1121">
        <v>7</v>
      </c>
      <c r="I1121" t="s">
        <v>112</v>
      </c>
      <c r="J1121">
        <v>699</v>
      </c>
      <c r="K1121">
        <v>1678</v>
      </c>
      <c r="L1121">
        <v>1</v>
      </c>
      <c r="M1121">
        <v>479</v>
      </c>
      <c r="N1121">
        <v>814</v>
      </c>
      <c r="O1121">
        <v>1</v>
      </c>
      <c r="P1121">
        <v>0</v>
      </c>
      <c r="Q1121">
        <v>0</v>
      </c>
      <c r="R1121">
        <v>1</v>
      </c>
      <c r="S1121">
        <v>1500000</v>
      </c>
      <c r="T1121" t="s">
        <v>2107</v>
      </c>
      <c r="U1121" t="s">
        <v>2108</v>
      </c>
      <c r="W1121">
        <v>712.5</v>
      </c>
      <c r="X1121" t="b">
        <v>1</v>
      </c>
    </row>
    <row r="1122" spans="1:24" x14ac:dyDescent="0.25">
      <c r="A1122">
        <v>1121</v>
      </c>
      <c r="B1122" t="s">
        <v>2109</v>
      </c>
      <c r="C1122">
        <v>5</v>
      </c>
      <c r="D1122">
        <v>25</v>
      </c>
      <c r="E1122">
        <v>99</v>
      </c>
      <c r="F1122">
        <v>0</v>
      </c>
      <c r="G1122" t="s">
        <v>112</v>
      </c>
      <c r="H1122">
        <v>7</v>
      </c>
      <c r="I1122" t="s">
        <v>112</v>
      </c>
      <c r="J1122">
        <v>1342</v>
      </c>
      <c r="K1122">
        <v>3355</v>
      </c>
      <c r="L1122">
        <v>1</v>
      </c>
      <c r="M1122">
        <v>733</v>
      </c>
      <c r="N1122">
        <v>1319</v>
      </c>
      <c r="O1122">
        <v>1</v>
      </c>
      <c r="P1122">
        <v>0</v>
      </c>
      <c r="Q1122">
        <v>0</v>
      </c>
      <c r="R1122">
        <v>1</v>
      </c>
      <c r="S1122">
        <v>3000000</v>
      </c>
      <c r="T1122" t="s">
        <v>2107</v>
      </c>
      <c r="U1122" t="s">
        <v>2108</v>
      </c>
      <c r="V1122" t="s">
        <v>1738</v>
      </c>
      <c r="W1122">
        <v>1125</v>
      </c>
      <c r="X1122" t="b">
        <v>1</v>
      </c>
    </row>
    <row r="1123" spans="1:24" x14ac:dyDescent="0.25">
      <c r="A1123">
        <v>1122</v>
      </c>
      <c r="B1123" t="s">
        <v>2110</v>
      </c>
      <c r="C1123">
        <v>4</v>
      </c>
      <c r="D1123">
        <v>15</v>
      </c>
      <c r="E1123">
        <v>50</v>
      </c>
      <c r="F1123">
        <v>1</v>
      </c>
      <c r="G1123" t="s">
        <v>112</v>
      </c>
      <c r="H1123">
        <v>3</v>
      </c>
      <c r="I1123" t="s">
        <v>112</v>
      </c>
      <c r="J1123">
        <v>375</v>
      </c>
      <c r="K1123">
        <v>900</v>
      </c>
      <c r="L1123">
        <v>1</v>
      </c>
      <c r="M1123">
        <v>477</v>
      </c>
      <c r="N1123">
        <v>811</v>
      </c>
      <c r="O1123">
        <v>1</v>
      </c>
      <c r="P1123">
        <v>171</v>
      </c>
      <c r="Q1123">
        <v>291</v>
      </c>
      <c r="R1123">
        <v>1</v>
      </c>
      <c r="S1123">
        <v>1500000</v>
      </c>
      <c r="T1123" t="s">
        <v>2111</v>
      </c>
      <c r="U1123" t="s">
        <v>2112</v>
      </c>
      <c r="W1123">
        <v>712.5</v>
      </c>
      <c r="X1123" t="b">
        <v>1</v>
      </c>
    </row>
    <row r="1124" spans="1:24" x14ac:dyDescent="0.25">
      <c r="A1124">
        <v>1123</v>
      </c>
      <c r="B1124" t="s">
        <v>2113</v>
      </c>
      <c r="C1124">
        <v>5</v>
      </c>
      <c r="D1124">
        <v>25</v>
      </c>
      <c r="E1124">
        <v>99</v>
      </c>
      <c r="F1124">
        <v>1</v>
      </c>
      <c r="G1124" t="s">
        <v>112</v>
      </c>
      <c r="H1124">
        <v>3</v>
      </c>
      <c r="I1124" t="s">
        <v>112</v>
      </c>
      <c r="J1124">
        <v>720</v>
      </c>
      <c r="K1124">
        <v>1800</v>
      </c>
      <c r="L1124">
        <v>1</v>
      </c>
      <c r="M1124">
        <v>730</v>
      </c>
      <c r="N1124">
        <v>1314</v>
      </c>
      <c r="O1124">
        <v>1</v>
      </c>
      <c r="P1124">
        <v>262</v>
      </c>
      <c r="Q1124">
        <v>502</v>
      </c>
      <c r="R1124">
        <v>1</v>
      </c>
      <c r="S1124">
        <v>3000000</v>
      </c>
      <c r="T1124" t="s">
        <v>2111</v>
      </c>
      <c r="U1124" t="s">
        <v>2112</v>
      </c>
      <c r="V1124" t="s">
        <v>1739</v>
      </c>
      <c r="W1124">
        <v>1125</v>
      </c>
      <c r="X1124" t="b">
        <v>1</v>
      </c>
    </row>
    <row r="1125" spans="1:24" x14ac:dyDescent="0.25">
      <c r="A1125">
        <v>1124</v>
      </c>
      <c r="B1125" t="s">
        <v>2114</v>
      </c>
      <c r="C1125">
        <v>4</v>
      </c>
      <c r="D1125">
        <v>15</v>
      </c>
      <c r="E1125">
        <v>50</v>
      </c>
      <c r="F1125">
        <v>2</v>
      </c>
      <c r="G1125" t="s">
        <v>112</v>
      </c>
      <c r="H1125">
        <v>2</v>
      </c>
      <c r="I1125" t="s">
        <v>112</v>
      </c>
      <c r="J1125">
        <v>859</v>
      </c>
      <c r="K1125">
        <v>2062</v>
      </c>
      <c r="L1125">
        <v>1</v>
      </c>
      <c r="M1125">
        <v>378</v>
      </c>
      <c r="N1125">
        <v>643</v>
      </c>
      <c r="O1125">
        <v>1</v>
      </c>
      <c r="P1125">
        <v>10</v>
      </c>
      <c r="Q1125">
        <v>17</v>
      </c>
      <c r="R1125">
        <v>1</v>
      </c>
      <c r="S1125">
        <v>1500000</v>
      </c>
      <c r="T1125" t="s">
        <v>2115</v>
      </c>
      <c r="U1125" t="s">
        <v>2116</v>
      </c>
      <c r="W1125">
        <v>712.5</v>
      </c>
      <c r="X1125" t="b">
        <v>1</v>
      </c>
    </row>
    <row r="1126" spans="1:24" x14ac:dyDescent="0.25">
      <c r="A1126">
        <v>1125</v>
      </c>
      <c r="B1126" t="s">
        <v>2117</v>
      </c>
      <c r="C1126">
        <v>5</v>
      </c>
      <c r="D1126">
        <v>25</v>
      </c>
      <c r="E1126">
        <v>99</v>
      </c>
      <c r="F1126">
        <v>2</v>
      </c>
      <c r="G1126" t="s">
        <v>112</v>
      </c>
      <c r="H1126">
        <v>2</v>
      </c>
      <c r="I1126" t="s">
        <v>112</v>
      </c>
      <c r="J1126">
        <v>1650</v>
      </c>
      <c r="K1126">
        <v>4125</v>
      </c>
      <c r="L1126">
        <v>1</v>
      </c>
      <c r="M1126">
        <v>579</v>
      </c>
      <c r="N1126">
        <v>1042</v>
      </c>
      <c r="O1126">
        <v>1</v>
      </c>
      <c r="P1126">
        <v>15</v>
      </c>
      <c r="Q1126">
        <v>97</v>
      </c>
      <c r="R1126">
        <v>1</v>
      </c>
      <c r="S1126">
        <v>3000000</v>
      </c>
      <c r="T1126" t="s">
        <v>2115</v>
      </c>
      <c r="U1126" t="s">
        <v>2116</v>
      </c>
      <c r="V1126" t="s">
        <v>1740</v>
      </c>
      <c r="W1126">
        <v>1125</v>
      </c>
      <c r="X1126" t="b">
        <v>1</v>
      </c>
    </row>
    <row r="1127" spans="1:24" x14ac:dyDescent="0.25">
      <c r="A1127">
        <v>1126</v>
      </c>
      <c r="B1127" t="s">
        <v>2118</v>
      </c>
      <c r="C1127">
        <v>4</v>
      </c>
      <c r="D1127">
        <v>15</v>
      </c>
      <c r="E1127">
        <v>50</v>
      </c>
      <c r="F1127">
        <v>3</v>
      </c>
      <c r="G1127" t="s">
        <v>112</v>
      </c>
      <c r="H1127">
        <v>5</v>
      </c>
      <c r="I1127" t="s">
        <v>112</v>
      </c>
      <c r="J1127">
        <v>573</v>
      </c>
      <c r="K1127">
        <v>1375</v>
      </c>
      <c r="L1127">
        <v>1</v>
      </c>
      <c r="M1127">
        <v>366</v>
      </c>
      <c r="N1127">
        <v>622</v>
      </c>
      <c r="O1127">
        <v>1</v>
      </c>
      <c r="P1127">
        <v>188</v>
      </c>
      <c r="Q1127">
        <v>320</v>
      </c>
      <c r="R1127">
        <v>1</v>
      </c>
      <c r="S1127">
        <v>1500000</v>
      </c>
      <c r="T1127" t="s">
        <v>2119</v>
      </c>
      <c r="U1127" t="s">
        <v>2368</v>
      </c>
      <c r="W1127">
        <v>712.5</v>
      </c>
      <c r="X1127" t="b">
        <v>1</v>
      </c>
    </row>
    <row r="1128" spans="1:24" x14ac:dyDescent="0.25">
      <c r="A1128">
        <v>1127</v>
      </c>
      <c r="B1128" t="s">
        <v>2120</v>
      </c>
      <c r="C1128">
        <v>5</v>
      </c>
      <c r="D1128">
        <v>25</v>
      </c>
      <c r="E1128">
        <v>99</v>
      </c>
      <c r="F1128">
        <v>3</v>
      </c>
      <c r="G1128" t="s">
        <v>112</v>
      </c>
      <c r="H1128">
        <v>5</v>
      </c>
      <c r="I1128">
        <v>3</v>
      </c>
      <c r="J1128">
        <v>1100</v>
      </c>
      <c r="K1128">
        <v>2750</v>
      </c>
      <c r="L1128">
        <v>1</v>
      </c>
      <c r="M1128">
        <v>560</v>
      </c>
      <c r="N1128">
        <v>1008</v>
      </c>
      <c r="O1128">
        <v>1</v>
      </c>
      <c r="P1128">
        <v>288</v>
      </c>
      <c r="Q1128">
        <v>518</v>
      </c>
      <c r="R1128">
        <v>1</v>
      </c>
      <c r="S1128">
        <v>4000000</v>
      </c>
      <c r="T1128" t="s">
        <v>2121</v>
      </c>
      <c r="U1128" t="s">
        <v>2368</v>
      </c>
      <c r="V1128" t="s">
        <v>1741</v>
      </c>
      <c r="W1128">
        <v>1125</v>
      </c>
      <c r="X1128" t="b">
        <v>1</v>
      </c>
    </row>
    <row r="1129" spans="1:24" x14ac:dyDescent="0.25">
      <c r="A1129">
        <v>1128</v>
      </c>
      <c r="B1129" t="s">
        <v>2122</v>
      </c>
      <c r="C1129">
        <v>4</v>
      </c>
      <c r="D1129">
        <v>15</v>
      </c>
      <c r="E1129">
        <v>50</v>
      </c>
      <c r="F1129">
        <v>4</v>
      </c>
      <c r="G1129" t="s">
        <v>112</v>
      </c>
      <c r="H1129">
        <v>4</v>
      </c>
      <c r="I1129" t="s">
        <v>112</v>
      </c>
      <c r="J1129">
        <v>712</v>
      </c>
      <c r="K1129">
        <v>1709</v>
      </c>
      <c r="L1129">
        <v>1</v>
      </c>
      <c r="M1129">
        <v>560</v>
      </c>
      <c r="N1129">
        <v>952</v>
      </c>
      <c r="O1129">
        <v>1</v>
      </c>
      <c r="P1129">
        <v>20</v>
      </c>
      <c r="Q1129">
        <v>34</v>
      </c>
      <c r="R1129">
        <v>1</v>
      </c>
      <c r="S1129">
        <v>1500000</v>
      </c>
      <c r="T1129" t="s">
        <v>2123</v>
      </c>
      <c r="U1129" t="s">
        <v>2124</v>
      </c>
      <c r="W1129">
        <v>712.5</v>
      </c>
      <c r="X1129" t="b">
        <v>1</v>
      </c>
    </row>
    <row r="1130" spans="1:24" x14ac:dyDescent="0.25">
      <c r="A1130">
        <v>1129</v>
      </c>
      <c r="B1130" t="s">
        <v>2125</v>
      </c>
      <c r="C1130">
        <v>5</v>
      </c>
      <c r="D1130">
        <v>25</v>
      </c>
      <c r="E1130">
        <v>99</v>
      </c>
      <c r="F1130">
        <v>4</v>
      </c>
      <c r="G1130" t="s">
        <v>112</v>
      </c>
      <c r="H1130">
        <v>4</v>
      </c>
      <c r="I1130">
        <v>6</v>
      </c>
      <c r="J1130">
        <v>1367</v>
      </c>
      <c r="K1130">
        <v>3418</v>
      </c>
      <c r="L1130">
        <v>1</v>
      </c>
      <c r="M1130">
        <v>857</v>
      </c>
      <c r="N1130">
        <v>1543</v>
      </c>
      <c r="O1130">
        <v>1</v>
      </c>
      <c r="P1130">
        <v>31</v>
      </c>
      <c r="Q1130">
        <v>56</v>
      </c>
      <c r="R1130">
        <v>1</v>
      </c>
      <c r="S1130">
        <v>4000000</v>
      </c>
      <c r="T1130" t="s">
        <v>2126</v>
      </c>
      <c r="U1130" t="s">
        <v>2124</v>
      </c>
      <c r="V1130" t="s">
        <v>1060</v>
      </c>
      <c r="W1130">
        <v>1125</v>
      </c>
      <c r="X1130" t="b">
        <v>1</v>
      </c>
    </row>
    <row r="1131" spans="1:24" x14ac:dyDescent="0.25">
      <c r="A1131">
        <v>1130</v>
      </c>
      <c r="B1131" t="s">
        <v>2127</v>
      </c>
      <c r="C1131">
        <v>5</v>
      </c>
      <c r="D1131">
        <v>20</v>
      </c>
      <c r="E1131">
        <v>50</v>
      </c>
      <c r="F1131">
        <v>2</v>
      </c>
      <c r="G1131" t="s">
        <v>112</v>
      </c>
      <c r="H1131">
        <v>5</v>
      </c>
      <c r="I1131" t="s">
        <v>112</v>
      </c>
      <c r="J1131">
        <v>849</v>
      </c>
      <c r="K1131">
        <v>2038</v>
      </c>
      <c r="L1131">
        <v>1</v>
      </c>
      <c r="M1131">
        <v>512</v>
      </c>
      <c r="N1131">
        <v>870</v>
      </c>
      <c r="O1131">
        <v>1</v>
      </c>
      <c r="P1131">
        <v>33</v>
      </c>
      <c r="Q1131">
        <v>56</v>
      </c>
      <c r="R1131">
        <v>1</v>
      </c>
      <c r="S1131">
        <v>4000000</v>
      </c>
      <c r="T1131" t="s">
        <v>2128</v>
      </c>
      <c r="U1131" t="s">
        <v>2689</v>
      </c>
      <c r="W1131">
        <v>937.5</v>
      </c>
      <c r="X1131" t="b">
        <v>1</v>
      </c>
    </row>
    <row r="1132" spans="1:24" x14ac:dyDescent="0.25">
      <c r="A1132">
        <v>1131</v>
      </c>
      <c r="B1132" t="s">
        <v>2129</v>
      </c>
      <c r="C1132">
        <v>6</v>
      </c>
      <c r="D1132">
        <v>30</v>
      </c>
      <c r="E1132">
        <v>99</v>
      </c>
      <c r="F1132">
        <v>2</v>
      </c>
      <c r="G1132">
        <v>3</v>
      </c>
      <c r="H1132">
        <v>5</v>
      </c>
      <c r="I1132">
        <v>4</v>
      </c>
      <c r="J1132">
        <v>1630</v>
      </c>
      <c r="K1132">
        <v>4075</v>
      </c>
      <c r="L1132">
        <v>1</v>
      </c>
      <c r="M1132">
        <v>783</v>
      </c>
      <c r="N1132">
        <v>1409</v>
      </c>
      <c r="O1132">
        <v>1</v>
      </c>
      <c r="P1132">
        <v>50</v>
      </c>
      <c r="Q1132">
        <v>190</v>
      </c>
      <c r="R1132">
        <v>1</v>
      </c>
      <c r="S1132">
        <v>4000000</v>
      </c>
      <c r="T1132" t="s">
        <v>2130</v>
      </c>
      <c r="U1132" t="s">
        <v>2689</v>
      </c>
      <c r="V1132" t="s">
        <v>1742</v>
      </c>
      <c r="W1132">
        <v>1350</v>
      </c>
      <c r="X1132" t="b">
        <v>1</v>
      </c>
    </row>
    <row r="1133" spans="1:24" x14ac:dyDescent="0.25">
      <c r="A1133">
        <v>1132</v>
      </c>
      <c r="B1133" t="s">
        <v>2131</v>
      </c>
      <c r="C1133">
        <v>6</v>
      </c>
      <c r="D1133">
        <v>50</v>
      </c>
      <c r="E1133">
        <v>99</v>
      </c>
      <c r="F1133">
        <v>0</v>
      </c>
      <c r="G1133" t="s">
        <v>112</v>
      </c>
      <c r="H1133">
        <v>4</v>
      </c>
      <c r="I1133">
        <v>5</v>
      </c>
      <c r="J1133">
        <v>316</v>
      </c>
      <c r="K1133">
        <v>2112</v>
      </c>
      <c r="L1133">
        <v>1</v>
      </c>
      <c r="M1133">
        <v>443</v>
      </c>
      <c r="N1133">
        <v>2016</v>
      </c>
      <c r="O1133">
        <v>1</v>
      </c>
      <c r="P1133">
        <v>122</v>
      </c>
      <c r="Q1133">
        <v>244</v>
      </c>
      <c r="R1133">
        <v>1</v>
      </c>
      <c r="S1133">
        <v>4000000</v>
      </c>
      <c r="T1133" t="s">
        <v>2011</v>
      </c>
      <c r="U1133" t="s">
        <v>2436</v>
      </c>
      <c r="V1133" t="s">
        <v>1743</v>
      </c>
      <c r="W1133">
        <v>2100</v>
      </c>
      <c r="X1133" t="b">
        <v>1</v>
      </c>
    </row>
    <row r="1134" spans="1:24" x14ac:dyDescent="0.25">
      <c r="A1134">
        <v>1133</v>
      </c>
      <c r="B1134" t="s">
        <v>2132</v>
      </c>
      <c r="C1134">
        <v>6</v>
      </c>
      <c r="D1134">
        <v>50</v>
      </c>
      <c r="E1134">
        <v>99</v>
      </c>
      <c r="F1134">
        <v>1</v>
      </c>
      <c r="G1134" t="s">
        <v>112</v>
      </c>
      <c r="H1134">
        <v>4</v>
      </c>
      <c r="I1134">
        <v>5</v>
      </c>
      <c r="J1134">
        <v>310</v>
      </c>
      <c r="K1134">
        <v>2081</v>
      </c>
      <c r="L1134">
        <v>1</v>
      </c>
      <c r="M1134">
        <v>453</v>
      </c>
      <c r="N1134">
        <v>2057</v>
      </c>
      <c r="O1134">
        <v>1</v>
      </c>
      <c r="P1134">
        <v>113</v>
      </c>
      <c r="Q1134">
        <v>226</v>
      </c>
      <c r="R1134">
        <v>1</v>
      </c>
      <c r="S1134">
        <v>4000000</v>
      </c>
      <c r="T1134" t="s">
        <v>2133</v>
      </c>
      <c r="U1134" t="s">
        <v>2437</v>
      </c>
      <c r="V1134" t="s">
        <v>1744</v>
      </c>
      <c r="W1134">
        <v>2100</v>
      </c>
      <c r="X1134" t="b">
        <v>1</v>
      </c>
    </row>
    <row r="1135" spans="1:24" x14ac:dyDescent="0.25">
      <c r="A1135">
        <v>1136</v>
      </c>
      <c r="B1135" t="s">
        <v>1745</v>
      </c>
      <c r="C1135">
        <v>3</v>
      </c>
      <c r="D1135">
        <v>6</v>
      </c>
      <c r="E1135">
        <v>25</v>
      </c>
      <c r="F1135">
        <v>0</v>
      </c>
      <c r="G1135" t="s">
        <v>112</v>
      </c>
      <c r="H1135">
        <v>1</v>
      </c>
      <c r="I1135" t="s">
        <v>112</v>
      </c>
      <c r="J1135">
        <v>179</v>
      </c>
      <c r="K1135">
        <v>806</v>
      </c>
      <c r="L1135">
        <v>1</v>
      </c>
      <c r="M1135">
        <v>79</v>
      </c>
      <c r="N1135">
        <v>356</v>
      </c>
      <c r="O1135">
        <v>1</v>
      </c>
      <c r="P1135">
        <v>71</v>
      </c>
      <c r="Q1135">
        <v>149</v>
      </c>
      <c r="R1135">
        <v>1</v>
      </c>
      <c r="S1135">
        <v>1500000</v>
      </c>
      <c r="T1135" t="s">
        <v>1746</v>
      </c>
      <c r="U1135" t="s">
        <v>112</v>
      </c>
      <c r="W1135">
        <v>337.5</v>
      </c>
      <c r="X1135" t="b">
        <v>0</v>
      </c>
    </row>
    <row r="1136" spans="1:24" x14ac:dyDescent="0.25">
      <c r="A1136">
        <v>1137</v>
      </c>
      <c r="B1136" t="s">
        <v>1747</v>
      </c>
      <c r="C1136">
        <v>4</v>
      </c>
      <c r="D1136">
        <v>11</v>
      </c>
      <c r="E1136">
        <v>70</v>
      </c>
      <c r="F1136">
        <v>0</v>
      </c>
      <c r="G1136">
        <v>4</v>
      </c>
      <c r="H1136">
        <v>1</v>
      </c>
      <c r="I1136" t="s">
        <v>112</v>
      </c>
      <c r="J1136">
        <v>645</v>
      </c>
      <c r="K1136">
        <v>1613</v>
      </c>
      <c r="L1136">
        <v>1</v>
      </c>
      <c r="M1136">
        <v>320</v>
      </c>
      <c r="N1136">
        <v>900</v>
      </c>
      <c r="O1136">
        <v>1</v>
      </c>
      <c r="P1136">
        <v>134</v>
      </c>
      <c r="Q1136">
        <v>281</v>
      </c>
      <c r="R1136">
        <v>1</v>
      </c>
      <c r="S1136">
        <v>3000000</v>
      </c>
      <c r="T1136" t="s">
        <v>1749</v>
      </c>
      <c r="U1136" t="s">
        <v>1674</v>
      </c>
      <c r="V1136" t="s">
        <v>1748</v>
      </c>
      <c r="W1136">
        <v>562.5</v>
      </c>
      <c r="X1136" t="b">
        <v>0</v>
      </c>
    </row>
    <row r="1137" spans="1:24" x14ac:dyDescent="0.25">
      <c r="A1137">
        <v>1138</v>
      </c>
      <c r="B1137" t="s">
        <v>1750</v>
      </c>
      <c r="C1137">
        <v>3</v>
      </c>
      <c r="D1137">
        <v>6</v>
      </c>
      <c r="E1137">
        <v>25</v>
      </c>
      <c r="F1137">
        <v>1</v>
      </c>
      <c r="G1137" t="s">
        <v>112</v>
      </c>
      <c r="H1137">
        <v>1</v>
      </c>
      <c r="I1137" t="s">
        <v>112</v>
      </c>
      <c r="J1137">
        <v>180</v>
      </c>
      <c r="K1137">
        <v>810</v>
      </c>
      <c r="L1137">
        <v>1</v>
      </c>
      <c r="M1137">
        <v>77</v>
      </c>
      <c r="N1137">
        <v>347</v>
      </c>
      <c r="O1137">
        <v>1</v>
      </c>
      <c r="P1137">
        <v>73</v>
      </c>
      <c r="Q1137">
        <v>153</v>
      </c>
      <c r="R1137">
        <v>1</v>
      </c>
      <c r="S1137">
        <v>1500000</v>
      </c>
      <c r="T1137" t="s">
        <v>1751</v>
      </c>
      <c r="U1137" t="s">
        <v>112</v>
      </c>
      <c r="W1137">
        <v>337.5</v>
      </c>
      <c r="X1137" t="b">
        <v>0</v>
      </c>
    </row>
    <row r="1138" spans="1:24" x14ac:dyDescent="0.25">
      <c r="A1138">
        <v>1139</v>
      </c>
      <c r="B1138" t="s">
        <v>1752</v>
      </c>
      <c r="C1138">
        <v>4</v>
      </c>
      <c r="D1138">
        <v>11</v>
      </c>
      <c r="E1138">
        <v>70</v>
      </c>
      <c r="F1138">
        <v>1</v>
      </c>
      <c r="G1138">
        <v>0</v>
      </c>
      <c r="H1138">
        <v>1</v>
      </c>
      <c r="I1138" t="s">
        <v>112</v>
      </c>
      <c r="J1138">
        <v>648</v>
      </c>
      <c r="K1138">
        <v>1620</v>
      </c>
      <c r="L1138">
        <v>1</v>
      </c>
      <c r="M1138">
        <v>312</v>
      </c>
      <c r="N1138">
        <v>880</v>
      </c>
      <c r="O1138">
        <v>1</v>
      </c>
      <c r="P1138">
        <v>138</v>
      </c>
      <c r="Q1138">
        <v>290</v>
      </c>
      <c r="R1138">
        <v>1</v>
      </c>
      <c r="S1138">
        <v>3000000</v>
      </c>
      <c r="T1138" t="s">
        <v>1754</v>
      </c>
      <c r="U1138" t="s">
        <v>1680</v>
      </c>
      <c r="V1138" t="s">
        <v>1753</v>
      </c>
      <c r="W1138">
        <v>562.5</v>
      </c>
      <c r="X1138" t="b">
        <v>0</v>
      </c>
    </row>
    <row r="1139" spans="1:24" x14ac:dyDescent="0.25">
      <c r="A1139">
        <v>1140</v>
      </c>
      <c r="B1139" t="s">
        <v>1755</v>
      </c>
      <c r="C1139">
        <v>3</v>
      </c>
      <c r="D1139">
        <v>6</v>
      </c>
      <c r="E1139">
        <v>25</v>
      </c>
      <c r="F1139">
        <v>2</v>
      </c>
      <c r="G1139" t="s">
        <v>112</v>
      </c>
      <c r="H1139">
        <v>2</v>
      </c>
      <c r="I1139" t="s">
        <v>112</v>
      </c>
      <c r="J1139">
        <v>265</v>
      </c>
      <c r="K1139">
        <v>1193</v>
      </c>
      <c r="L1139">
        <v>1</v>
      </c>
      <c r="M1139">
        <v>75</v>
      </c>
      <c r="N1139">
        <v>338</v>
      </c>
      <c r="O1139">
        <v>1</v>
      </c>
      <c r="P1139">
        <v>18</v>
      </c>
      <c r="Q1139">
        <v>38</v>
      </c>
      <c r="R1139">
        <v>1</v>
      </c>
      <c r="S1139">
        <v>1500000</v>
      </c>
      <c r="T1139" t="s">
        <v>1756</v>
      </c>
      <c r="U1139" t="s">
        <v>112</v>
      </c>
      <c r="W1139">
        <v>337.5</v>
      </c>
      <c r="X1139" t="b">
        <v>0</v>
      </c>
    </row>
    <row r="1140" spans="1:24" x14ac:dyDescent="0.25">
      <c r="A1140">
        <v>1141</v>
      </c>
      <c r="B1140" t="s">
        <v>1757</v>
      </c>
      <c r="C1140">
        <v>4</v>
      </c>
      <c r="D1140">
        <v>11</v>
      </c>
      <c r="E1140">
        <v>70</v>
      </c>
      <c r="F1140">
        <v>2</v>
      </c>
      <c r="G1140">
        <v>1</v>
      </c>
      <c r="H1140">
        <v>2</v>
      </c>
      <c r="I1140" t="s">
        <v>112</v>
      </c>
      <c r="J1140">
        <v>954</v>
      </c>
      <c r="K1140">
        <v>2385</v>
      </c>
      <c r="L1140">
        <v>1</v>
      </c>
      <c r="M1140">
        <v>304</v>
      </c>
      <c r="N1140">
        <v>860</v>
      </c>
      <c r="O1140">
        <v>1</v>
      </c>
      <c r="P1140">
        <v>34</v>
      </c>
      <c r="Q1140">
        <v>71</v>
      </c>
      <c r="R1140">
        <v>1</v>
      </c>
      <c r="S1140">
        <v>3000000</v>
      </c>
      <c r="T1140" t="s">
        <v>1759</v>
      </c>
      <c r="U1140" t="s">
        <v>1686</v>
      </c>
      <c r="V1140" t="s">
        <v>1758</v>
      </c>
      <c r="W1140">
        <v>562.5</v>
      </c>
      <c r="X1140" t="b">
        <v>0</v>
      </c>
    </row>
    <row r="1141" spans="1:24" x14ac:dyDescent="0.25">
      <c r="A1141">
        <v>1142</v>
      </c>
      <c r="B1141" t="s">
        <v>1760</v>
      </c>
      <c r="C1141">
        <v>3</v>
      </c>
      <c r="D1141">
        <v>6</v>
      </c>
      <c r="E1141">
        <v>25</v>
      </c>
      <c r="F1141">
        <v>3</v>
      </c>
      <c r="G1141" t="s">
        <v>112</v>
      </c>
      <c r="H1141">
        <v>2</v>
      </c>
      <c r="I1141" t="s">
        <v>112</v>
      </c>
      <c r="J1141">
        <v>263</v>
      </c>
      <c r="K1141">
        <v>1184</v>
      </c>
      <c r="L1141">
        <v>1</v>
      </c>
      <c r="M1141">
        <v>73</v>
      </c>
      <c r="N1141">
        <v>329</v>
      </c>
      <c r="O1141">
        <v>1</v>
      </c>
      <c r="P1141">
        <v>23</v>
      </c>
      <c r="Q1141">
        <v>48</v>
      </c>
      <c r="R1141">
        <v>1</v>
      </c>
      <c r="S1141">
        <v>1500000</v>
      </c>
      <c r="T1141" t="s">
        <v>1761</v>
      </c>
      <c r="U1141" t="s">
        <v>112</v>
      </c>
      <c r="W1141">
        <v>337.5</v>
      </c>
      <c r="X1141" t="b">
        <v>0</v>
      </c>
    </row>
    <row r="1142" spans="1:24" x14ac:dyDescent="0.25">
      <c r="A1142">
        <v>1143</v>
      </c>
      <c r="B1142" t="s">
        <v>1762</v>
      </c>
      <c r="C1142">
        <v>4</v>
      </c>
      <c r="D1142">
        <v>11</v>
      </c>
      <c r="E1142">
        <v>70</v>
      </c>
      <c r="F1142">
        <v>3</v>
      </c>
      <c r="G1142">
        <v>2</v>
      </c>
      <c r="H1142">
        <v>2</v>
      </c>
      <c r="I1142" t="s">
        <v>112</v>
      </c>
      <c r="J1142">
        <v>947</v>
      </c>
      <c r="K1142">
        <v>2368</v>
      </c>
      <c r="L1142">
        <v>1</v>
      </c>
      <c r="M1142">
        <v>296</v>
      </c>
      <c r="N1142">
        <v>840</v>
      </c>
      <c r="O1142">
        <v>1</v>
      </c>
      <c r="P1142">
        <v>43</v>
      </c>
      <c r="Q1142">
        <v>90</v>
      </c>
      <c r="R1142">
        <v>1</v>
      </c>
      <c r="S1142">
        <v>3000000</v>
      </c>
      <c r="T1142" t="s">
        <v>1764</v>
      </c>
      <c r="U1142" t="s">
        <v>1692</v>
      </c>
      <c r="V1142" t="s">
        <v>1763</v>
      </c>
      <c r="W1142">
        <v>562.5</v>
      </c>
      <c r="X1142" t="b">
        <v>0</v>
      </c>
    </row>
    <row r="1143" spans="1:24" x14ac:dyDescent="0.25">
      <c r="A1143">
        <v>1144</v>
      </c>
      <c r="B1143" t="s">
        <v>1765</v>
      </c>
      <c r="C1143">
        <v>3</v>
      </c>
      <c r="D1143">
        <v>6</v>
      </c>
      <c r="E1143">
        <v>25</v>
      </c>
      <c r="F1143">
        <v>4</v>
      </c>
      <c r="G1143" t="s">
        <v>112</v>
      </c>
      <c r="H1143">
        <v>3</v>
      </c>
      <c r="I1143" t="s">
        <v>112</v>
      </c>
      <c r="J1143">
        <v>155</v>
      </c>
      <c r="K1143">
        <v>698</v>
      </c>
      <c r="L1143">
        <v>1</v>
      </c>
      <c r="M1143">
        <v>72</v>
      </c>
      <c r="N1143">
        <v>324</v>
      </c>
      <c r="O1143">
        <v>1</v>
      </c>
      <c r="P1143">
        <v>97</v>
      </c>
      <c r="Q1143">
        <v>204</v>
      </c>
      <c r="R1143">
        <v>1</v>
      </c>
      <c r="S1143">
        <v>1500000</v>
      </c>
      <c r="T1143" t="s">
        <v>1766</v>
      </c>
      <c r="U1143" t="s">
        <v>112</v>
      </c>
      <c r="W1143">
        <v>337.5</v>
      </c>
      <c r="X1143" t="b">
        <v>0</v>
      </c>
    </row>
    <row r="1144" spans="1:24" x14ac:dyDescent="0.25">
      <c r="A1144">
        <v>1145</v>
      </c>
      <c r="B1144" t="s">
        <v>1767</v>
      </c>
      <c r="C1144">
        <v>4</v>
      </c>
      <c r="D1144">
        <v>11</v>
      </c>
      <c r="E1144">
        <v>70</v>
      </c>
      <c r="F1144">
        <v>4</v>
      </c>
      <c r="G1144">
        <v>3</v>
      </c>
      <c r="H1144">
        <v>3</v>
      </c>
      <c r="I1144" t="s">
        <v>112</v>
      </c>
      <c r="J1144">
        <v>558</v>
      </c>
      <c r="K1144">
        <v>1395</v>
      </c>
      <c r="L1144">
        <v>1</v>
      </c>
      <c r="M1144">
        <v>292</v>
      </c>
      <c r="N1144">
        <v>830</v>
      </c>
      <c r="O1144">
        <v>1</v>
      </c>
      <c r="P1144">
        <v>184</v>
      </c>
      <c r="Q1144">
        <v>386</v>
      </c>
      <c r="R1144">
        <v>1</v>
      </c>
      <c r="S1144">
        <v>3000000</v>
      </c>
      <c r="T1144" t="s">
        <v>1769</v>
      </c>
      <c r="U1144" t="s">
        <v>1698</v>
      </c>
      <c r="V1144" t="s">
        <v>1768</v>
      </c>
      <c r="W1144">
        <v>562.5</v>
      </c>
      <c r="X1144" t="b">
        <v>0</v>
      </c>
    </row>
    <row r="1145" spans="1:24" x14ac:dyDescent="0.25">
      <c r="A1145">
        <v>1146</v>
      </c>
      <c r="B1145" t="s">
        <v>1770</v>
      </c>
      <c r="C1145">
        <v>5</v>
      </c>
      <c r="D1145">
        <v>20</v>
      </c>
      <c r="E1145">
        <v>50</v>
      </c>
      <c r="F1145">
        <v>1</v>
      </c>
      <c r="G1145" t="s">
        <v>112</v>
      </c>
      <c r="H1145">
        <v>1</v>
      </c>
      <c r="I1145" t="s">
        <v>112</v>
      </c>
      <c r="J1145">
        <v>267</v>
      </c>
      <c r="K1145">
        <v>1202</v>
      </c>
      <c r="L1145">
        <v>1</v>
      </c>
      <c r="M1145">
        <v>106</v>
      </c>
      <c r="N1145">
        <v>477</v>
      </c>
      <c r="O1145">
        <v>1</v>
      </c>
      <c r="P1145">
        <v>79</v>
      </c>
      <c r="Q1145">
        <v>166</v>
      </c>
      <c r="R1145">
        <v>1</v>
      </c>
      <c r="S1145">
        <v>3000000</v>
      </c>
      <c r="T1145" t="s">
        <v>1771</v>
      </c>
      <c r="U1145" t="s">
        <v>708</v>
      </c>
      <c r="W1145">
        <v>937.5</v>
      </c>
      <c r="X1145" t="b">
        <v>0</v>
      </c>
    </row>
    <row r="1146" spans="1:24" x14ac:dyDescent="0.25">
      <c r="A1146">
        <v>1147</v>
      </c>
      <c r="B1146" t="s">
        <v>1772</v>
      </c>
      <c r="C1146">
        <v>6</v>
      </c>
      <c r="D1146">
        <v>30</v>
      </c>
      <c r="E1146">
        <v>99</v>
      </c>
      <c r="F1146">
        <v>1</v>
      </c>
      <c r="G1146">
        <v>1</v>
      </c>
      <c r="H1146">
        <v>1</v>
      </c>
      <c r="I1146" t="s">
        <v>112</v>
      </c>
      <c r="J1146">
        <v>962</v>
      </c>
      <c r="K1146">
        <v>2405</v>
      </c>
      <c r="L1146">
        <v>1</v>
      </c>
      <c r="M1146">
        <v>429</v>
      </c>
      <c r="N1146">
        <v>1073</v>
      </c>
      <c r="O1146">
        <v>1</v>
      </c>
      <c r="P1146">
        <v>149</v>
      </c>
      <c r="Q1146">
        <v>313</v>
      </c>
      <c r="R1146">
        <v>1</v>
      </c>
      <c r="S1146">
        <v>3000000</v>
      </c>
      <c r="T1146" t="s">
        <v>1771</v>
      </c>
      <c r="U1146" t="s">
        <v>708</v>
      </c>
      <c r="V1146" t="s">
        <v>901</v>
      </c>
      <c r="W1146">
        <v>1350</v>
      </c>
      <c r="X1146" t="b">
        <v>0</v>
      </c>
    </row>
    <row r="1147" spans="1:24" x14ac:dyDescent="0.25">
      <c r="A1147">
        <v>1148</v>
      </c>
      <c r="B1147" t="s">
        <v>1773</v>
      </c>
      <c r="C1147">
        <v>4</v>
      </c>
      <c r="D1147">
        <v>10</v>
      </c>
      <c r="E1147">
        <v>50</v>
      </c>
      <c r="F1147">
        <v>4</v>
      </c>
      <c r="G1147" t="s">
        <v>112</v>
      </c>
      <c r="H1147">
        <v>4</v>
      </c>
      <c r="I1147" t="s">
        <v>112</v>
      </c>
      <c r="J1147">
        <v>256</v>
      </c>
      <c r="K1147">
        <v>1152</v>
      </c>
      <c r="L1147">
        <v>1</v>
      </c>
      <c r="M1147">
        <v>82</v>
      </c>
      <c r="N1147">
        <v>369</v>
      </c>
      <c r="O1147">
        <v>1</v>
      </c>
      <c r="P1147">
        <v>85</v>
      </c>
      <c r="Q1147">
        <v>179</v>
      </c>
      <c r="R1147">
        <v>1</v>
      </c>
      <c r="S1147">
        <v>3000000</v>
      </c>
      <c r="T1147" t="s">
        <v>1774</v>
      </c>
      <c r="U1147" t="s">
        <v>1775</v>
      </c>
      <c r="W1147">
        <v>525</v>
      </c>
      <c r="X1147" t="b">
        <v>0</v>
      </c>
    </row>
    <row r="1148" spans="1:24" x14ac:dyDescent="0.25">
      <c r="A1148">
        <v>1149</v>
      </c>
      <c r="B1148" t="s">
        <v>1776</v>
      </c>
      <c r="C1148">
        <v>5</v>
      </c>
      <c r="D1148">
        <v>15</v>
      </c>
      <c r="E1148">
        <v>99</v>
      </c>
      <c r="F1148">
        <v>4</v>
      </c>
      <c r="G1148">
        <v>4</v>
      </c>
      <c r="H1148">
        <v>4</v>
      </c>
      <c r="I1148">
        <v>7</v>
      </c>
      <c r="J1148">
        <v>922</v>
      </c>
      <c r="K1148">
        <v>2305</v>
      </c>
      <c r="L1148">
        <v>1</v>
      </c>
      <c r="M1148">
        <v>332</v>
      </c>
      <c r="N1148">
        <v>830</v>
      </c>
      <c r="O1148">
        <v>1</v>
      </c>
      <c r="P1148">
        <v>161</v>
      </c>
      <c r="Q1148">
        <v>338</v>
      </c>
      <c r="R1148">
        <v>1</v>
      </c>
      <c r="S1148">
        <v>3000000</v>
      </c>
      <c r="T1148" t="s">
        <v>1774</v>
      </c>
      <c r="U1148" t="s">
        <v>1775</v>
      </c>
      <c r="V1148" t="s">
        <v>1777</v>
      </c>
      <c r="W1148">
        <v>750</v>
      </c>
      <c r="X1148" t="b">
        <v>0</v>
      </c>
    </row>
    <row r="1149" spans="1:24" x14ac:dyDescent="0.25">
      <c r="A1149">
        <v>1150</v>
      </c>
      <c r="B1149" t="s">
        <v>1778</v>
      </c>
      <c r="C1149">
        <v>4</v>
      </c>
      <c r="D1149">
        <v>10</v>
      </c>
      <c r="E1149">
        <v>50</v>
      </c>
      <c r="F1149">
        <v>0</v>
      </c>
      <c r="G1149" t="s">
        <v>112</v>
      </c>
      <c r="H1149">
        <v>1</v>
      </c>
      <c r="I1149" t="s">
        <v>112</v>
      </c>
      <c r="J1149">
        <v>242</v>
      </c>
      <c r="K1149">
        <v>1089</v>
      </c>
      <c r="L1149">
        <v>1</v>
      </c>
      <c r="M1149">
        <v>123</v>
      </c>
      <c r="N1149">
        <v>554</v>
      </c>
      <c r="O1149">
        <v>1</v>
      </c>
      <c r="P1149">
        <v>95</v>
      </c>
      <c r="Q1149">
        <v>200</v>
      </c>
      <c r="R1149">
        <v>1</v>
      </c>
      <c r="S1149">
        <v>3000000</v>
      </c>
      <c r="T1149" t="s">
        <v>1779</v>
      </c>
      <c r="U1149" t="s">
        <v>1780</v>
      </c>
      <c r="W1149">
        <v>525</v>
      </c>
      <c r="X1149" t="b">
        <v>0</v>
      </c>
    </row>
    <row r="1150" spans="1:24" x14ac:dyDescent="0.25">
      <c r="A1150">
        <v>1151</v>
      </c>
      <c r="B1150" t="s">
        <v>1781</v>
      </c>
      <c r="C1150">
        <v>5</v>
      </c>
      <c r="D1150">
        <v>20</v>
      </c>
      <c r="E1150">
        <v>99</v>
      </c>
      <c r="F1150">
        <v>0</v>
      </c>
      <c r="G1150">
        <v>0</v>
      </c>
      <c r="H1150">
        <v>1</v>
      </c>
      <c r="I1150">
        <v>4</v>
      </c>
      <c r="J1150">
        <v>871</v>
      </c>
      <c r="K1150">
        <v>2700</v>
      </c>
      <c r="L1150">
        <v>1</v>
      </c>
      <c r="M1150">
        <v>499</v>
      </c>
      <c r="N1150">
        <v>1248</v>
      </c>
      <c r="O1150">
        <v>1</v>
      </c>
      <c r="P1150">
        <v>180</v>
      </c>
      <c r="Q1150">
        <v>270</v>
      </c>
      <c r="R1150">
        <v>1</v>
      </c>
      <c r="S1150">
        <v>3000000</v>
      </c>
      <c r="T1150" t="s">
        <v>1779</v>
      </c>
      <c r="U1150" t="s">
        <v>1780</v>
      </c>
      <c r="V1150" t="s">
        <v>1782</v>
      </c>
      <c r="W1150">
        <v>937.5</v>
      </c>
      <c r="X1150" t="b">
        <v>0</v>
      </c>
    </row>
    <row r="1151" spans="1:24" x14ac:dyDescent="0.25">
      <c r="A1151">
        <v>1152</v>
      </c>
      <c r="B1151" t="s">
        <v>1783</v>
      </c>
      <c r="C1151">
        <v>4</v>
      </c>
      <c r="D1151">
        <v>10</v>
      </c>
      <c r="E1151">
        <v>50</v>
      </c>
      <c r="F1151">
        <v>1</v>
      </c>
      <c r="G1151" t="s">
        <v>112</v>
      </c>
      <c r="H1151">
        <v>2</v>
      </c>
      <c r="I1151" t="s">
        <v>112</v>
      </c>
      <c r="J1151">
        <v>303</v>
      </c>
      <c r="K1151">
        <v>1364</v>
      </c>
      <c r="L1151">
        <v>1</v>
      </c>
      <c r="M1151">
        <v>119</v>
      </c>
      <c r="N1151">
        <v>536</v>
      </c>
      <c r="O1151">
        <v>1</v>
      </c>
      <c r="P1151">
        <v>33</v>
      </c>
      <c r="Q1151">
        <v>69</v>
      </c>
      <c r="R1151">
        <v>1</v>
      </c>
      <c r="S1151">
        <v>3000000</v>
      </c>
      <c r="T1151" t="s">
        <v>1784</v>
      </c>
      <c r="U1151" t="s">
        <v>1785</v>
      </c>
      <c r="W1151">
        <v>525</v>
      </c>
      <c r="X1151" t="b">
        <v>0</v>
      </c>
    </row>
    <row r="1152" spans="1:24" x14ac:dyDescent="0.25">
      <c r="A1152">
        <v>1153</v>
      </c>
      <c r="B1152" t="s">
        <v>1786</v>
      </c>
      <c r="C1152">
        <v>5</v>
      </c>
      <c r="D1152">
        <v>20</v>
      </c>
      <c r="E1152">
        <v>99</v>
      </c>
      <c r="F1152">
        <v>1</v>
      </c>
      <c r="G1152">
        <v>1</v>
      </c>
      <c r="H1152">
        <v>2</v>
      </c>
      <c r="I1152">
        <v>4</v>
      </c>
      <c r="J1152">
        <v>1091</v>
      </c>
      <c r="K1152">
        <v>3382</v>
      </c>
      <c r="L1152">
        <v>1</v>
      </c>
      <c r="M1152">
        <v>482</v>
      </c>
      <c r="N1152">
        <v>1205</v>
      </c>
      <c r="O1152">
        <v>1</v>
      </c>
      <c r="P1152">
        <v>62</v>
      </c>
      <c r="Q1152">
        <v>93</v>
      </c>
      <c r="R1152">
        <v>1</v>
      </c>
      <c r="S1152">
        <v>3000000</v>
      </c>
      <c r="T1152" t="s">
        <v>1784</v>
      </c>
      <c r="U1152" t="s">
        <v>1785</v>
      </c>
      <c r="V1152" t="s">
        <v>1787</v>
      </c>
      <c r="W1152">
        <v>937.5</v>
      </c>
      <c r="X1152" t="b">
        <v>0</v>
      </c>
    </row>
    <row r="1153" spans="1:24" x14ac:dyDescent="0.25">
      <c r="A1153">
        <v>1154</v>
      </c>
      <c r="B1153" t="s">
        <v>1788</v>
      </c>
      <c r="C1153">
        <v>4</v>
      </c>
      <c r="D1153">
        <v>10</v>
      </c>
      <c r="E1153">
        <v>50</v>
      </c>
      <c r="F1153">
        <v>2</v>
      </c>
      <c r="G1153" t="s">
        <v>112</v>
      </c>
      <c r="H1153">
        <v>1</v>
      </c>
      <c r="I1153" t="s">
        <v>112</v>
      </c>
      <c r="J1153">
        <v>247</v>
      </c>
      <c r="K1153">
        <v>1112</v>
      </c>
      <c r="L1153">
        <v>1</v>
      </c>
      <c r="M1153">
        <v>121</v>
      </c>
      <c r="N1153">
        <v>545</v>
      </c>
      <c r="O1153">
        <v>1</v>
      </c>
      <c r="P1153">
        <v>93</v>
      </c>
      <c r="Q1153">
        <v>195</v>
      </c>
      <c r="R1153">
        <v>1</v>
      </c>
      <c r="S1153">
        <v>3000000</v>
      </c>
      <c r="T1153" t="s">
        <v>1789</v>
      </c>
      <c r="U1153" t="s">
        <v>1790</v>
      </c>
      <c r="W1153">
        <v>525</v>
      </c>
      <c r="X1153" t="b">
        <v>0</v>
      </c>
    </row>
    <row r="1154" spans="1:24" x14ac:dyDescent="0.25">
      <c r="A1154">
        <v>1155</v>
      </c>
      <c r="B1154" t="s">
        <v>1791</v>
      </c>
      <c r="C1154">
        <v>5</v>
      </c>
      <c r="D1154">
        <v>20</v>
      </c>
      <c r="E1154">
        <v>99</v>
      </c>
      <c r="F1154">
        <v>2</v>
      </c>
      <c r="G1154">
        <v>2</v>
      </c>
      <c r="H1154">
        <v>1</v>
      </c>
      <c r="I1154">
        <v>4</v>
      </c>
      <c r="J1154">
        <v>890</v>
      </c>
      <c r="K1154">
        <v>2759</v>
      </c>
      <c r="L1154">
        <v>1</v>
      </c>
      <c r="M1154">
        <v>491</v>
      </c>
      <c r="N1154">
        <v>1228</v>
      </c>
      <c r="O1154">
        <v>1</v>
      </c>
      <c r="P1154">
        <v>176</v>
      </c>
      <c r="Q1154">
        <v>264</v>
      </c>
      <c r="R1154">
        <v>1</v>
      </c>
      <c r="S1154">
        <v>3000000</v>
      </c>
      <c r="T1154" t="s">
        <v>1789</v>
      </c>
      <c r="U1154" t="s">
        <v>1790</v>
      </c>
      <c r="V1154" t="s">
        <v>1792</v>
      </c>
      <c r="W1154">
        <v>937.5</v>
      </c>
      <c r="X1154" t="b">
        <v>0</v>
      </c>
    </row>
    <row r="1155" spans="1:24" x14ac:dyDescent="0.25">
      <c r="A1155">
        <v>1156</v>
      </c>
      <c r="B1155" t="s">
        <v>1793</v>
      </c>
      <c r="C1155">
        <v>4</v>
      </c>
      <c r="D1155">
        <v>10</v>
      </c>
      <c r="E1155">
        <v>50</v>
      </c>
      <c r="F1155">
        <v>4</v>
      </c>
      <c r="G1155" t="s">
        <v>112</v>
      </c>
      <c r="H1155">
        <v>6</v>
      </c>
      <c r="I1155" t="s">
        <v>112</v>
      </c>
      <c r="J1155">
        <v>281</v>
      </c>
      <c r="K1155">
        <v>1265</v>
      </c>
      <c r="L1155">
        <v>1</v>
      </c>
      <c r="M1155">
        <v>149</v>
      </c>
      <c r="N1155">
        <v>671</v>
      </c>
      <c r="O1155">
        <v>1</v>
      </c>
      <c r="P1155">
        <v>42</v>
      </c>
      <c r="Q1155">
        <v>88</v>
      </c>
      <c r="R1155">
        <v>1</v>
      </c>
      <c r="S1155">
        <v>3000000</v>
      </c>
      <c r="T1155" t="s">
        <v>1794</v>
      </c>
      <c r="U1155" t="s">
        <v>1795</v>
      </c>
      <c r="W1155">
        <v>525</v>
      </c>
      <c r="X1155" t="b">
        <v>0</v>
      </c>
    </row>
    <row r="1156" spans="1:24" x14ac:dyDescent="0.25">
      <c r="A1156">
        <v>1157</v>
      </c>
      <c r="B1156" t="s">
        <v>1796</v>
      </c>
      <c r="C1156">
        <v>5</v>
      </c>
      <c r="D1156">
        <v>20</v>
      </c>
      <c r="E1156">
        <v>99</v>
      </c>
      <c r="F1156">
        <v>4</v>
      </c>
      <c r="G1156" t="s">
        <v>112</v>
      </c>
      <c r="H1156">
        <v>6</v>
      </c>
      <c r="I1156" t="s">
        <v>112</v>
      </c>
      <c r="J1156">
        <v>1012</v>
      </c>
      <c r="K1156">
        <v>2530</v>
      </c>
      <c r="L1156">
        <v>1</v>
      </c>
      <c r="M1156">
        <v>604</v>
      </c>
      <c r="N1156">
        <v>1510</v>
      </c>
      <c r="O1156">
        <v>1</v>
      </c>
      <c r="P1156">
        <v>79</v>
      </c>
      <c r="Q1156">
        <v>166</v>
      </c>
      <c r="R1156">
        <v>1</v>
      </c>
      <c r="S1156">
        <v>3000000</v>
      </c>
      <c r="T1156" t="s">
        <v>1794</v>
      </c>
      <c r="U1156" t="s">
        <v>1795</v>
      </c>
      <c r="V1156" t="s">
        <v>1797</v>
      </c>
      <c r="W1156">
        <v>937.5</v>
      </c>
      <c r="X1156" t="b">
        <v>0</v>
      </c>
    </row>
    <row r="1157" spans="1:24" x14ac:dyDescent="0.25">
      <c r="A1157">
        <v>1158</v>
      </c>
      <c r="B1157" t="s">
        <v>1798</v>
      </c>
      <c r="C1157">
        <v>4</v>
      </c>
      <c r="D1157">
        <v>10</v>
      </c>
      <c r="E1157">
        <v>50</v>
      </c>
      <c r="F1157">
        <v>4</v>
      </c>
      <c r="G1157" t="s">
        <v>112</v>
      </c>
      <c r="H1157">
        <v>7</v>
      </c>
      <c r="I1157" t="s">
        <v>112</v>
      </c>
      <c r="J1157">
        <v>242</v>
      </c>
      <c r="K1157">
        <v>1089</v>
      </c>
      <c r="L1157">
        <v>1</v>
      </c>
      <c r="M1157">
        <v>148</v>
      </c>
      <c r="N1157">
        <v>666</v>
      </c>
      <c r="O1157">
        <v>1</v>
      </c>
      <c r="P1157">
        <v>69</v>
      </c>
      <c r="Q1157">
        <v>145</v>
      </c>
      <c r="R1157">
        <v>1</v>
      </c>
      <c r="S1157">
        <v>3000000</v>
      </c>
      <c r="T1157" t="s">
        <v>1799</v>
      </c>
      <c r="U1157" t="s">
        <v>1800</v>
      </c>
      <c r="W1157">
        <v>525</v>
      </c>
      <c r="X1157" t="b">
        <v>0</v>
      </c>
    </row>
    <row r="1158" spans="1:24" x14ac:dyDescent="0.25">
      <c r="A1158">
        <v>1159</v>
      </c>
      <c r="B1158" t="s">
        <v>1801</v>
      </c>
      <c r="C1158">
        <v>5</v>
      </c>
      <c r="D1158">
        <v>20</v>
      </c>
      <c r="E1158">
        <v>99</v>
      </c>
      <c r="F1158">
        <v>4</v>
      </c>
      <c r="G1158" t="s">
        <v>112</v>
      </c>
      <c r="H1158">
        <v>7</v>
      </c>
      <c r="I1158" t="s">
        <v>112</v>
      </c>
      <c r="J1158">
        <v>871</v>
      </c>
      <c r="K1158">
        <v>2178</v>
      </c>
      <c r="L1158">
        <v>1</v>
      </c>
      <c r="M1158">
        <v>599</v>
      </c>
      <c r="N1158">
        <v>1498</v>
      </c>
      <c r="O1158">
        <v>1</v>
      </c>
      <c r="P1158">
        <v>131</v>
      </c>
      <c r="Q1158">
        <v>275</v>
      </c>
      <c r="R1158">
        <v>1</v>
      </c>
      <c r="S1158">
        <v>3000000</v>
      </c>
      <c r="T1158" t="s">
        <v>1799</v>
      </c>
      <c r="U1158" t="s">
        <v>1800</v>
      </c>
      <c r="V1158" t="s">
        <v>1802</v>
      </c>
      <c r="W1158">
        <v>937.5</v>
      </c>
      <c r="X1158" t="b">
        <v>0</v>
      </c>
    </row>
    <row r="1159" spans="1:24" x14ac:dyDescent="0.25">
      <c r="A1159">
        <v>1160</v>
      </c>
      <c r="B1159" t="s">
        <v>1803</v>
      </c>
      <c r="C1159">
        <v>4</v>
      </c>
      <c r="D1159">
        <v>10</v>
      </c>
      <c r="E1159">
        <v>50</v>
      </c>
      <c r="F1159">
        <v>3</v>
      </c>
      <c r="G1159" t="s">
        <v>112</v>
      </c>
      <c r="H1159">
        <v>3</v>
      </c>
      <c r="I1159" t="s">
        <v>112</v>
      </c>
      <c r="J1159">
        <v>233</v>
      </c>
      <c r="K1159">
        <v>1049</v>
      </c>
      <c r="L1159">
        <v>1</v>
      </c>
      <c r="M1159">
        <v>108</v>
      </c>
      <c r="N1159">
        <v>486</v>
      </c>
      <c r="O1159">
        <v>1</v>
      </c>
      <c r="P1159">
        <v>137</v>
      </c>
      <c r="Q1159">
        <v>288</v>
      </c>
      <c r="R1159">
        <v>1</v>
      </c>
      <c r="S1159">
        <v>3000000</v>
      </c>
      <c r="T1159" t="s">
        <v>1804</v>
      </c>
      <c r="U1159" t="s">
        <v>1805</v>
      </c>
      <c r="W1159">
        <v>525</v>
      </c>
      <c r="X1159" t="b">
        <v>0</v>
      </c>
    </row>
    <row r="1160" spans="1:24" x14ac:dyDescent="0.25">
      <c r="A1160">
        <v>1161</v>
      </c>
      <c r="B1160" t="s">
        <v>1806</v>
      </c>
      <c r="C1160">
        <v>5</v>
      </c>
      <c r="D1160">
        <v>20</v>
      </c>
      <c r="E1160">
        <v>99</v>
      </c>
      <c r="F1160">
        <v>3</v>
      </c>
      <c r="G1160" t="s">
        <v>112</v>
      </c>
      <c r="H1160">
        <v>3</v>
      </c>
      <c r="I1160" t="s">
        <v>112</v>
      </c>
      <c r="J1160">
        <v>839</v>
      </c>
      <c r="K1160">
        <v>2098</v>
      </c>
      <c r="L1160">
        <v>1</v>
      </c>
      <c r="M1160">
        <v>437</v>
      </c>
      <c r="N1160">
        <v>1093</v>
      </c>
      <c r="O1160">
        <v>1</v>
      </c>
      <c r="P1160">
        <v>259</v>
      </c>
      <c r="Q1160">
        <v>544</v>
      </c>
      <c r="R1160">
        <v>1</v>
      </c>
      <c r="S1160">
        <v>3000000</v>
      </c>
      <c r="T1160" t="s">
        <v>1804</v>
      </c>
      <c r="U1160" t="s">
        <v>1805</v>
      </c>
      <c r="V1160" t="s">
        <v>1807</v>
      </c>
      <c r="W1160">
        <v>937.5</v>
      </c>
      <c r="X1160" t="b">
        <v>0</v>
      </c>
    </row>
    <row r="1161" spans="1:24" x14ac:dyDescent="0.25">
      <c r="A1161">
        <v>1162</v>
      </c>
      <c r="B1161" t="s">
        <v>1808</v>
      </c>
      <c r="C1161">
        <v>5</v>
      </c>
      <c r="D1161">
        <v>10</v>
      </c>
      <c r="E1161">
        <v>50</v>
      </c>
      <c r="F1161">
        <v>3</v>
      </c>
      <c r="G1161" t="s">
        <v>112</v>
      </c>
      <c r="H1161">
        <v>2</v>
      </c>
      <c r="I1161" t="s">
        <v>112</v>
      </c>
      <c r="J1161">
        <v>478</v>
      </c>
      <c r="K1161">
        <v>2151</v>
      </c>
      <c r="L1161">
        <v>1</v>
      </c>
      <c r="M1161">
        <v>99</v>
      </c>
      <c r="N1161">
        <v>446</v>
      </c>
      <c r="O1161">
        <v>1</v>
      </c>
      <c r="P1161">
        <v>29</v>
      </c>
      <c r="Q1161">
        <v>61</v>
      </c>
      <c r="R1161">
        <v>1</v>
      </c>
      <c r="S1161">
        <v>4000000</v>
      </c>
      <c r="T1161" t="s">
        <v>1809</v>
      </c>
      <c r="U1161" t="s">
        <v>2628</v>
      </c>
      <c r="W1161">
        <v>562.5</v>
      </c>
      <c r="X1161" t="b">
        <v>0</v>
      </c>
    </row>
    <row r="1162" spans="1:24" x14ac:dyDescent="0.25">
      <c r="A1162">
        <v>1163</v>
      </c>
      <c r="B1162" t="s">
        <v>1810</v>
      </c>
      <c r="C1162">
        <v>6</v>
      </c>
      <c r="D1162">
        <v>20</v>
      </c>
      <c r="E1162">
        <v>99</v>
      </c>
      <c r="F1162">
        <v>3</v>
      </c>
      <c r="G1162">
        <v>3</v>
      </c>
      <c r="H1162">
        <v>2</v>
      </c>
      <c r="I1162" t="s">
        <v>112</v>
      </c>
      <c r="J1162">
        <v>1721</v>
      </c>
      <c r="K1162">
        <v>4303</v>
      </c>
      <c r="L1162">
        <v>1</v>
      </c>
      <c r="M1162">
        <v>401</v>
      </c>
      <c r="N1162">
        <v>1053</v>
      </c>
      <c r="O1162">
        <v>1</v>
      </c>
      <c r="P1162">
        <v>55</v>
      </c>
      <c r="Q1162">
        <v>116</v>
      </c>
      <c r="R1162">
        <v>1</v>
      </c>
      <c r="S1162">
        <v>4000000</v>
      </c>
      <c r="T1162" t="s">
        <v>1809</v>
      </c>
      <c r="U1162" t="s">
        <v>2628</v>
      </c>
      <c r="V1162" t="s">
        <v>1811</v>
      </c>
      <c r="W1162">
        <v>975</v>
      </c>
      <c r="X1162" t="b">
        <v>0</v>
      </c>
    </row>
    <row r="1163" spans="1:24" x14ac:dyDescent="0.25">
      <c r="A1163">
        <v>1164</v>
      </c>
      <c r="B1163" t="s">
        <v>1812</v>
      </c>
      <c r="C1163">
        <v>5</v>
      </c>
      <c r="D1163">
        <v>10</v>
      </c>
      <c r="E1163">
        <v>50</v>
      </c>
      <c r="F1163">
        <v>3</v>
      </c>
      <c r="G1163" t="s">
        <v>112</v>
      </c>
      <c r="H1163">
        <v>3</v>
      </c>
      <c r="I1163" t="s">
        <v>112</v>
      </c>
      <c r="J1163">
        <v>270</v>
      </c>
      <c r="K1163">
        <v>1215</v>
      </c>
      <c r="L1163">
        <v>1</v>
      </c>
      <c r="M1163">
        <v>122</v>
      </c>
      <c r="N1163">
        <v>549</v>
      </c>
      <c r="O1163">
        <v>1</v>
      </c>
      <c r="P1163">
        <v>136</v>
      </c>
      <c r="Q1163">
        <v>286</v>
      </c>
      <c r="R1163">
        <v>1</v>
      </c>
      <c r="S1163">
        <v>4000000</v>
      </c>
      <c r="T1163" t="s">
        <v>1813</v>
      </c>
      <c r="U1163" t="s">
        <v>1814</v>
      </c>
      <c r="W1163">
        <v>562.5</v>
      </c>
      <c r="X1163" t="b">
        <v>0</v>
      </c>
    </row>
    <row r="1164" spans="1:24" x14ac:dyDescent="0.25">
      <c r="A1164">
        <v>1165</v>
      </c>
      <c r="B1164" t="s">
        <v>1815</v>
      </c>
      <c r="C1164">
        <v>6</v>
      </c>
      <c r="D1164">
        <v>20</v>
      </c>
      <c r="E1164">
        <v>99</v>
      </c>
      <c r="F1164">
        <v>3</v>
      </c>
      <c r="G1164">
        <v>3</v>
      </c>
      <c r="H1164">
        <v>3</v>
      </c>
      <c r="I1164" t="s">
        <v>112</v>
      </c>
      <c r="J1164">
        <v>972</v>
      </c>
      <c r="K1164">
        <v>2480</v>
      </c>
      <c r="L1164">
        <v>1</v>
      </c>
      <c r="M1164">
        <v>494</v>
      </c>
      <c r="N1164">
        <v>1235</v>
      </c>
      <c r="O1164">
        <v>1</v>
      </c>
      <c r="P1164">
        <v>257</v>
      </c>
      <c r="Q1164">
        <v>540</v>
      </c>
      <c r="R1164">
        <v>1</v>
      </c>
      <c r="S1164">
        <v>4000000</v>
      </c>
      <c r="T1164" t="s">
        <v>1813</v>
      </c>
      <c r="U1164" t="s">
        <v>1814</v>
      </c>
      <c r="V1164" t="s">
        <v>1816</v>
      </c>
      <c r="W1164">
        <v>975</v>
      </c>
      <c r="X1164" t="b">
        <v>0</v>
      </c>
    </row>
    <row r="1165" spans="1:24" x14ac:dyDescent="0.25">
      <c r="A1165">
        <v>1166</v>
      </c>
      <c r="B1165" t="s">
        <v>2438</v>
      </c>
      <c r="C1165">
        <v>6</v>
      </c>
      <c r="D1165">
        <v>40</v>
      </c>
      <c r="E1165">
        <v>99</v>
      </c>
      <c r="F1165">
        <v>0</v>
      </c>
      <c r="G1165">
        <v>2</v>
      </c>
      <c r="H1165">
        <v>4</v>
      </c>
      <c r="I1165" t="s">
        <v>112</v>
      </c>
      <c r="J1165">
        <v>1255</v>
      </c>
      <c r="K1165">
        <v>3389</v>
      </c>
      <c r="L1165">
        <v>1</v>
      </c>
      <c r="M1165">
        <v>512</v>
      </c>
      <c r="N1165">
        <v>1075</v>
      </c>
      <c r="O1165">
        <v>1</v>
      </c>
      <c r="P1165">
        <v>155</v>
      </c>
      <c r="Q1165">
        <v>544</v>
      </c>
      <c r="R1165">
        <v>1</v>
      </c>
      <c r="S1165">
        <v>4000000</v>
      </c>
      <c r="T1165" t="s">
        <v>2439</v>
      </c>
      <c r="U1165" t="s">
        <v>2440</v>
      </c>
      <c r="V1165" t="s">
        <v>350</v>
      </c>
      <c r="W1165">
        <v>1725</v>
      </c>
      <c r="X1165" t="b">
        <v>0</v>
      </c>
    </row>
    <row r="1166" spans="1:24" x14ac:dyDescent="0.25">
      <c r="A1166">
        <v>1167</v>
      </c>
      <c r="B1166" t="s">
        <v>2441</v>
      </c>
      <c r="C1166">
        <v>6</v>
      </c>
      <c r="D1166">
        <v>40</v>
      </c>
      <c r="E1166">
        <v>99</v>
      </c>
      <c r="F1166">
        <v>1</v>
      </c>
      <c r="G1166">
        <v>2</v>
      </c>
      <c r="H1166">
        <v>4</v>
      </c>
      <c r="I1166" t="s">
        <v>112</v>
      </c>
      <c r="J1166">
        <v>1250</v>
      </c>
      <c r="K1166">
        <v>3375</v>
      </c>
      <c r="L1166">
        <v>1</v>
      </c>
      <c r="M1166">
        <v>510</v>
      </c>
      <c r="N1166">
        <v>1071</v>
      </c>
      <c r="O1166">
        <v>1</v>
      </c>
      <c r="P1166">
        <v>156</v>
      </c>
      <c r="Q1166">
        <v>548</v>
      </c>
      <c r="R1166">
        <v>1</v>
      </c>
      <c r="S1166">
        <v>4000000</v>
      </c>
      <c r="T1166" t="s">
        <v>2442</v>
      </c>
      <c r="U1166" t="s">
        <v>2443</v>
      </c>
      <c r="V1166" t="s">
        <v>352</v>
      </c>
      <c r="W1166">
        <v>1725</v>
      </c>
      <c r="X1166" t="b">
        <v>0</v>
      </c>
    </row>
    <row r="1167" spans="1:24" x14ac:dyDescent="0.25">
      <c r="A1167">
        <v>1168</v>
      </c>
      <c r="B1167" t="s">
        <v>2444</v>
      </c>
      <c r="C1167">
        <v>6</v>
      </c>
      <c r="D1167">
        <v>40</v>
      </c>
      <c r="E1167">
        <v>99</v>
      </c>
      <c r="F1167">
        <v>2</v>
      </c>
      <c r="G1167">
        <v>2</v>
      </c>
      <c r="H1167">
        <v>4</v>
      </c>
      <c r="I1167" t="s">
        <v>112</v>
      </c>
      <c r="J1167">
        <v>1247</v>
      </c>
      <c r="K1167">
        <v>3367</v>
      </c>
      <c r="L1167">
        <v>1</v>
      </c>
      <c r="M1167">
        <v>508</v>
      </c>
      <c r="N1167">
        <v>1067</v>
      </c>
      <c r="O1167">
        <v>1</v>
      </c>
      <c r="P1167">
        <v>158</v>
      </c>
      <c r="Q1167">
        <v>555</v>
      </c>
      <c r="R1167">
        <v>1</v>
      </c>
      <c r="S1167">
        <v>4000000</v>
      </c>
      <c r="T1167" t="s">
        <v>2445</v>
      </c>
      <c r="U1167" t="s">
        <v>2446</v>
      </c>
      <c r="V1167" t="s">
        <v>354</v>
      </c>
      <c r="W1167">
        <v>1725</v>
      </c>
      <c r="X1167" t="b">
        <v>0</v>
      </c>
    </row>
    <row r="1168" spans="1:24" x14ac:dyDescent="0.25">
      <c r="A1168">
        <v>1169</v>
      </c>
      <c r="B1168" t="s">
        <v>2629</v>
      </c>
      <c r="C1168">
        <v>6</v>
      </c>
      <c r="D1168">
        <v>40</v>
      </c>
      <c r="E1168">
        <v>99</v>
      </c>
      <c r="F1168">
        <v>3</v>
      </c>
      <c r="G1168">
        <v>2</v>
      </c>
      <c r="H1168">
        <v>4</v>
      </c>
      <c r="I1168" t="s">
        <v>112</v>
      </c>
      <c r="J1168">
        <v>1254</v>
      </c>
      <c r="K1168">
        <v>3386</v>
      </c>
      <c r="L1168">
        <v>1</v>
      </c>
      <c r="M1168">
        <v>514</v>
      </c>
      <c r="N1168">
        <v>1079</v>
      </c>
      <c r="O1168">
        <v>1</v>
      </c>
      <c r="P1168">
        <v>154</v>
      </c>
      <c r="Q1168">
        <v>541</v>
      </c>
      <c r="R1168">
        <v>1</v>
      </c>
      <c r="S1168">
        <v>4000000</v>
      </c>
      <c r="T1168" t="s">
        <v>2630</v>
      </c>
      <c r="U1168" t="s">
        <v>2631</v>
      </c>
      <c r="V1168" t="s">
        <v>356</v>
      </c>
      <c r="W1168">
        <v>1725</v>
      </c>
      <c r="X1168" t="b">
        <v>0</v>
      </c>
    </row>
    <row r="1169" spans="1:24" x14ac:dyDescent="0.25">
      <c r="A1169">
        <v>1170</v>
      </c>
      <c r="B1169" t="s">
        <v>2632</v>
      </c>
      <c r="C1169">
        <v>6</v>
      </c>
      <c r="D1169">
        <v>40</v>
      </c>
      <c r="E1169">
        <v>99</v>
      </c>
      <c r="F1169">
        <v>4</v>
      </c>
      <c r="G1169">
        <v>2</v>
      </c>
      <c r="H1169">
        <v>4</v>
      </c>
      <c r="I1169" t="s">
        <v>112</v>
      </c>
      <c r="J1169">
        <v>1245</v>
      </c>
      <c r="K1169">
        <v>3362</v>
      </c>
      <c r="L1169">
        <v>1</v>
      </c>
      <c r="M1169">
        <v>511</v>
      </c>
      <c r="N1169">
        <v>1073</v>
      </c>
      <c r="O1169">
        <v>1</v>
      </c>
      <c r="P1169">
        <v>157</v>
      </c>
      <c r="Q1169">
        <v>551</v>
      </c>
      <c r="R1169">
        <v>1</v>
      </c>
      <c r="S1169">
        <v>4000000</v>
      </c>
      <c r="T1169" t="s">
        <v>2633</v>
      </c>
      <c r="U1169" t="s">
        <v>2634</v>
      </c>
      <c r="V1169" t="s">
        <v>358</v>
      </c>
      <c r="W1169">
        <v>1725</v>
      </c>
      <c r="X1169" t="b">
        <v>0</v>
      </c>
    </row>
    <row r="1170" spans="1:24" x14ac:dyDescent="0.25">
      <c r="A1170">
        <v>1171</v>
      </c>
      <c r="B1170" t="s">
        <v>2447</v>
      </c>
      <c r="C1170">
        <v>2</v>
      </c>
      <c r="D1170">
        <v>6</v>
      </c>
      <c r="E1170">
        <v>30</v>
      </c>
      <c r="F1170">
        <v>0</v>
      </c>
      <c r="G1170" t="s">
        <v>112</v>
      </c>
      <c r="H1170">
        <v>4</v>
      </c>
      <c r="I1170" t="s">
        <v>112</v>
      </c>
      <c r="J1170">
        <v>217</v>
      </c>
      <c r="K1170">
        <v>564</v>
      </c>
      <c r="L1170">
        <v>1</v>
      </c>
      <c r="M1170">
        <v>222</v>
      </c>
      <c r="N1170">
        <v>355</v>
      </c>
      <c r="O1170">
        <v>1</v>
      </c>
      <c r="P1170">
        <v>155</v>
      </c>
      <c r="Q1170">
        <v>248</v>
      </c>
      <c r="R1170">
        <v>1</v>
      </c>
      <c r="S1170">
        <v>1500000</v>
      </c>
      <c r="T1170" t="s">
        <v>112</v>
      </c>
      <c r="U1170" t="s">
        <v>704</v>
      </c>
      <c r="W1170">
        <v>300</v>
      </c>
      <c r="X1170" t="b">
        <v>0</v>
      </c>
    </row>
    <row r="1171" spans="1:24" x14ac:dyDescent="0.25">
      <c r="A1171">
        <v>1172</v>
      </c>
      <c r="B1171" t="s">
        <v>2448</v>
      </c>
      <c r="C1171">
        <v>2</v>
      </c>
      <c r="D1171">
        <v>6</v>
      </c>
      <c r="E1171">
        <v>30</v>
      </c>
      <c r="F1171">
        <v>1</v>
      </c>
      <c r="G1171" t="s">
        <v>112</v>
      </c>
      <c r="H1171">
        <v>4</v>
      </c>
      <c r="I1171" t="s">
        <v>112</v>
      </c>
      <c r="J1171">
        <v>213</v>
      </c>
      <c r="K1171">
        <v>554</v>
      </c>
      <c r="L1171">
        <v>1</v>
      </c>
      <c r="M1171">
        <v>218</v>
      </c>
      <c r="N1171">
        <v>349</v>
      </c>
      <c r="O1171">
        <v>1</v>
      </c>
      <c r="P1171">
        <v>160</v>
      </c>
      <c r="Q1171">
        <v>256</v>
      </c>
      <c r="R1171">
        <v>1</v>
      </c>
      <c r="S1171">
        <v>1500000</v>
      </c>
      <c r="T1171" t="s">
        <v>112</v>
      </c>
      <c r="U1171" t="s">
        <v>708</v>
      </c>
      <c r="W1171">
        <v>300</v>
      </c>
      <c r="X1171" t="b">
        <v>0</v>
      </c>
    </row>
    <row r="1172" spans="1:24" x14ac:dyDescent="0.25">
      <c r="A1172">
        <v>1173</v>
      </c>
      <c r="B1172" t="s">
        <v>2449</v>
      </c>
      <c r="C1172">
        <v>2</v>
      </c>
      <c r="D1172">
        <v>6</v>
      </c>
      <c r="E1172">
        <v>30</v>
      </c>
      <c r="F1172">
        <v>2</v>
      </c>
      <c r="G1172" t="s">
        <v>112</v>
      </c>
      <c r="H1172">
        <v>4</v>
      </c>
      <c r="I1172" t="s">
        <v>112</v>
      </c>
      <c r="J1172">
        <v>212</v>
      </c>
      <c r="K1172">
        <v>551</v>
      </c>
      <c r="L1172">
        <v>1</v>
      </c>
      <c r="M1172">
        <v>219</v>
      </c>
      <c r="N1172">
        <v>350</v>
      </c>
      <c r="O1172">
        <v>1</v>
      </c>
      <c r="P1172">
        <v>159</v>
      </c>
      <c r="Q1172">
        <v>254</v>
      </c>
      <c r="R1172">
        <v>1</v>
      </c>
      <c r="S1172">
        <v>1500000</v>
      </c>
      <c r="T1172" t="s">
        <v>112</v>
      </c>
      <c r="U1172" t="s">
        <v>712</v>
      </c>
      <c r="W1172">
        <v>300</v>
      </c>
      <c r="X1172" t="b">
        <v>0</v>
      </c>
    </row>
    <row r="1173" spans="1:24" x14ac:dyDescent="0.25">
      <c r="A1173">
        <v>1174</v>
      </c>
      <c r="B1173" t="s">
        <v>2635</v>
      </c>
      <c r="C1173">
        <v>2</v>
      </c>
      <c r="D1173">
        <v>6</v>
      </c>
      <c r="E1173">
        <v>30</v>
      </c>
      <c r="F1173">
        <v>3</v>
      </c>
      <c r="G1173" t="s">
        <v>112</v>
      </c>
      <c r="H1173">
        <v>4</v>
      </c>
      <c r="I1173" t="s">
        <v>112</v>
      </c>
      <c r="J1173">
        <v>221</v>
      </c>
      <c r="K1173">
        <v>575</v>
      </c>
      <c r="L1173">
        <v>1</v>
      </c>
      <c r="M1173">
        <v>217</v>
      </c>
      <c r="N1173">
        <v>347</v>
      </c>
      <c r="O1173">
        <v>1</v>
      </c>
      <c r="P1173">
        <v>158</v>
      </c>
      <c r="Q1173">
        <v>253</v>
      </c>
      <c r="R1173">
        <v>1</v>
      </c>
      <c r="S1173">
        <v>1500000</v>
      </c>
      <c r="T1173" t="s">
        <v>112</v>
      </c>
      <c r="U1173" t="s">
        <v>717</v>
      </c>
      <c r="W1173">
        <v>300</v>
      </c>
      <c r="X1173" t="b">
        <v>0</v>
      </c>
    </row>
    <row r="1174" spans="1:24" x14ac:dyDescent="0.25">
      <c r="A1174">
        <v>1175</v>
      </c>
      <c r="B1174" t="s">
        <v>2636</v>
      </c>
      <c r="C1174">
        <v>2</v>
      </c>
      <c r="D1174">
        <v>6</v>
      </c>
      <c r="E1174">
        <v>30</v>
      </c>
      <c r="F1174">
        <v>4</v>
      </c>
      <c r="G1174" t="s">
        <v>112</v>
      </c>
      <c r="H1174">
        <v>4</v>
      </c>
      <c r="I1174" t="s">
        <v>112</v>
      </c>
      <c r="J1174">
        <v>216</v>
      </c>
      <c r="K1174">
        <v>562</v>
      </c>
      <c r="L1174">
        <v>1</v>
      </c>
      <c r="M1174">
        <v>221</v>
      </c>
      <c r="N1174">
        <v>354</v>
      </c>
      <c r="O1174">
        <v>1</v>
      </c>
      <c r="P1174">
        <v>156</v>
      </c>
      <c r="Q1174">
        <v>250</v>
      </c>
      <c r="R1174">
        <v>1</v>
      </c>
      <c r="S1174">
        <v>1500000</v>
      </c>
      <c r="T1174" t="s">
        <v>112</v>
      </c>
      <c r="U1174" t="s">
        <v>722</v>
      </c>
      <c r="W1174">
        <v>300</v>
      </c>
      <c r="X1174" t="b">
        <v>0</v>
      </c>
    </row>
    <row r="1175" spans="1:24" x14ac:dyDescent="0.25">
      <c r="A1175">
        <v>1176</v>
      </c>
      <c r="B1175" t="s">
        <v>2367</v>
      </c>
      <c r="C1175">
        <v>7</v>
      </c>
      <c r="D1175">
        <v>30</v>
      </c>
      <c r="E1175">
        <v>1</v>
      </c>
      <c r="F1175">
        <v>3</v>
      </c>
      <c r="G1175">
        <v>0</v>
      </c>
      <c r="H1175">
        <v>0</v>
      </c>
      <c r="I1175" t="s">
        <v>112</v>
      </c>
      <c r="J1175">
        <v>3626</v>
      </c>
      <c r="K1175">
        <v>3626</v>
      </c>
      <c r="L1175">
        <v>1</v>
      </c>
      <c r="M1175">
        <v>1107</v>
      </c>
      <c r="N1175">
        <v>1107</v>
      </c>
      <c r="O1175">
        <v>1</v>
      </c>
      <c r="P1175">
        <v>0</v>
      </c>
      <c r="Q1175">
        <v>0</v>
      </c>
      <c r="R1175">
        <v>1</v>
      </c>
      <c r="S1175">
        <v>1500000</v>
      </c>
      <c r="T1175" t="s">
        <v>338</v>
      </c>
      <c r="U1175" t="s">
        <v>2368</v>
      </c>
      <c r="W1175">
        <v>10000</v>
      </c>
      <c r="X1175" t="b">
        <v>0</v>
      </c>
    </row>
    <row r="1176" spans="1:24" x14ac:dyDescent="0.25">
      <c r="A1176">
        <v>1177</v>
      </c>
      <c r="B1176" t="s">
        <v>2369</v>
      </c>
      <c r="C1176">
        <v>5</v>
      </c>
      <c r="D1176">
        <v>25</v>
      </c>
      <c r="E1176">
        <v>1</v>
      </c>
      <c r="F1176">
        <v>3</v>
      </c>
      <c r="G1176" t="s">
        <v>112</v>
      </c>
      <c r="H1176">
        <v>14</v>
      </c>
      <c r="I1176" t="s">
        <v>112</v>
      </c>
      <c r="J1176">
        <v>832</v>
      </c>
      <c r="K1176">
        <v>832</v>
      </c>
      <c r="L1176">
        <v>1</v>
      </c>
      <c r="M1176">
        <v>832</v>
      </c>
      <c r="N1176">
        <v>832</v>
      </c>
      <c r="O1176">
        <v>1</v>
      </c>
      <c r="P1176">
        <v>832</v>
      </c>
      <c r="Q1176">
        <v>832</v>
      </c>
      <c r="R1176">
        <v>1</v>
      </c>
      <c r="S1176">
        <v>1500000</v>
      </c>
      <c r="T1176" t="s">
        <v>2370</v>
      </c>
      <c r="U1176" t="s">
        <v>2371</v>
      </c>
      <c r="W1176">
        <v>83200</v>
      </c>
      <c r="X1176" t="b">
        <v>1</v>
      </c>
    </row>
    <row r="1177" spans="1:24" x14ac:dyDescent="0.25">
      <c r="A1177">
        <v>1178</v>
      </c>
      <c r="B1177" t="s">
        <v>2450</v>
      </c>
      <c r="C1177">
        <v>3</v>
      </c>
      <c r="D1177">
        <v>5</v>
      </c>
      <c r="E1177">
        <v>25</v>
      </c>
      <c r="F1177">
        <v>0</v>
      </c>
      <c r="G1177" t="s">
        <v>112</v>
      </c>
      <c r="H1177">
        <v>3</v>
      </c>
      <c r="I1177" t="s">
        <v>112</v>
      </c>
      <c r="J1177">
        <v>261</v>
      </c>
      <c r="K1177">
        <v>626</v>
      </c>
      <c r="L1177">
        <v>1</v>
      </c>
      <c r="M1177">
        <v>91</v>
      </c>
      <c r="N1177">
        <v>273</v>
      </c>
      <c r="O1177">
        <v>1</v>
      </c>
      <c r="P1177">
        <v>187</v>
      </c>
      <c r="Q1177">
        <v>318</v>
      </c>
      <c r="R1177">
        <v>1</v>
      </c>
      <c r="S1177">
        <v>1500000</v>
      </c>
      <c r="T1177" t="s">
        <v>112</v>
      </c>
      <c r="U1177" t="s">
        <v>112</v>
      </c>
      <c r="W1177">
        <v>300</v>
      </c>
      <c r="X1177" t="b">
        <v>0</v>
      </c>
    </row>
    <row r="1178" spans="1:24" x14ac:dyDescent="0.25">
      <c r="A1178">
        <v>1179</v>
      </c>
      <c r="B1178" t="s">
        <v>2451</v>
      </c>
      <c r="C1178">
        <v>4</v>
      </c>
      <c r="D1178">
        <v>11</v>
      </c>
      <c r="E1178">
        <v>70</v>
      </c>
      <c r="F1178">
        <v>0</v>
      </c>
      <c r="G1178" t="s">
        <v>112</v>
      </c>
      <c r="H1178">
        <v>3</v>
      </c>
      <c r="I1178" t="s">
        <v>112</v>
      </c>
      <c r="J1178">
        <v>501</v>
      </c>
      <c r="K1178">
        <v>1253</v>
      </c>
      <c r="L1178">
        <v>1</v>
      </c>
      <c r="M1178">
        <v>246</v>
      </c>
      <c r="N1178">
        <v>615</v>
      </c>
      <c r="O1178">
        <v>1</v>
      </c>
      <c r="P1178">
        <v>286</v>
      </c>
      <c r="Q1178">
        <v>515</v>
      </c>
      <c r="R1178">
        <v>1</v>
      </c>
      <c r="S1178">
        <v>3000000</v>
      </c>
      <c r="T1178" t="s">
        <v>2452</v>
      </c>
      <c r="U1178" t="s">
        <v>1654</v>
      </c>
      <c r="W1178">
        <v>562.5</v>
      </c>
      <c r="X1178" t="b">
        <v>0</v>
      </c>
    </row>
    <row r="1179" spans="1:24" x14ac:dyDescent="0.25">
      <c r="A1179">
        <v>1180</v>
      </c>
      <c r="B1179" t="s">
        <v>2453</v>
      </c>
      <c r="C1179">
        <v>3</v>
      </c>
      <c r="D1179">
        <v>5</v>
      </c>
      <c r="E1179">
        <v>25</v>
      </c>
      <c r="F1179">
        <v>1</v>
      </c>
      <c r="G1179" t="s">
        <v>112</v>
      </c>
      <c r="H1179">
        <v>3</v>
      </c>
      <c r="I1179" t="s">
        <v>112</v>
      </c>
      <c r="J1179">
        <v>263</v>
      </c>
      <c r="K1179">
        <v>631</v>
      </c>
      <c r="L1179">
        <v>1</v>
      </c>
      <c r="M1179">
        <v>88</v>
      </c>
      <c r="N1179">
        <v>264</v>
      </c>
      <c r="O1179">
        <v>1</v>
      </c>
      <c r="P1179">
        <v>190</v>
      </c>
      <c r="Q1179">
        <v>323</v>
      </c>
      <c r="R1179">
        <v>1</v>
      </c>
      <c r="S1179">
        <v>1500000</v>
      </c>
      <c r="T1179" t="s">
        <v>112</v>
      </c>
      <c r="U1179" t="s">
        <v>112</v>
      </c>
      <c r="W1179">
        <v>300</v>
      </c>
      <c r="X1179" t="b">
        <v>0</v>
      </c>
    </row>
    <row r="1180" spans="1:24" x14ac:dyDescent="0.25">
      <c r="A1180">
        <v>1181</v>
      </c>
      <c r="B1180" t="s">
        <v>2454</v>
      </c>
      <c r="C1180">
        <v>4</v>
      </c>
      <c r="D1180">
        <v>11</v>
      </c>
      <c r="E1180">
        <v>70</v>
      </c>
      <c r="F1180">
        <v>1</v>
      </c>
      <c r="G1180" t="s">
        <v>112</v>
      </c>
      <c r="H1180">
        <v>3</v>
      </c>
      <c r="I1180" t="s">
        <v>112</v>
      </c>
      <c r="J1180">
        <v>505</v>
      </c>
      <c r="K1180">
        <v>1263</v>
      </c>
      <c r="L1180">
        <v>1</v>
      </c>
      <c r="M1180">
        <v>238</v>
      </c>
      <c r="N1180">
        <v>595</v>
      </c>
      <c r="O1180">
        <v>1</v>
      </c>
      <c r="P1180">
        <v>291</v>
      </c>
      <c r="Q1180">
        <v>524</v>
      </c>
      <c r="R1180">
        <v>1</v>
      </c>
      <c r="S1180">
        <v>3000000</v>
      </c>
      <c r="T1180" t="s">
        <v>2455</v>
      </c>
      <c r="U1180" t="s">
        <v>1658</v>
      </c>
      <c r="W1180">
        <v>562.5</v>
      </c>
      <c r="X1180" t="b">
        <v>0</v>
      </c>
    </row>
    <row r="1181" spans="1:24" x14ac:dyDescent="0.25">
      <c r="A1181">
        <v>1182</v>
      </c>
      <c r="B1181" t="s">
        <v>2456</v>
      </c>
      <c r="C1181">
        <v>3</v>
      </c>
      <c r="D1181">
        <v>5</v>
      </c>
      <c r="E1181">
        <v>25</v>
      </c>
      <c r="F1181">
        <v>2</v>
      </c>
      <c r="G1181" t="s">
        <v>112</v>
      </c>
      <c r="H1181">
        <v>3</v>
      </c>
      <c r="I1181" t="s">
        <v>112</v>
      </c>
      <c r="J1181">
        <v>263</v>
      </c>
      <c r="K1181">
        <v>631</v>
      </c>
      <c r="L1181">
        <v>1</v>
      </c>
      <c r="M1181">
        <v>90</v>
      </c>
      <c r="N1181">
        <v>270</v>
      </c>
      <c r="O1181">
        <v>1</v>
      </c>
      <c r="P1181">
        <v>187</v>
      </c>
      <c r="Q1181">
        <v>318</v>
      </c>
      <c r="R1181">
        <v>1</v>
      </c>
      <c r="S1181">
        <v>1500000</v>
      </c>
      <c r="T1181" t="s">
        <v>112</v>
      </c>
      <c r="U1181" t="s">
        <v>112</v>
      </c>
      <c r="W1181">
        <v>300</v>
      </c>
      <c r="X1181" t="b">
        <v>0</v>
      </c>
    </row>
    <row r="1182" spans="1:24" x14ac:dyDescent="0.25">
      <c r="A1182">
        <v>1183</v>
      </c>
      <c r="B1182" t="s">
        <v>2457</v>
      </c>
      <c r="C1182">
        <v>4</v>
      </c>
      <c r="D1182">
        <v>11</v>
      </c>
      <c r="E1182">
        <v>70</v>
      </c>
      <c r="F1182">
        <v>2</v>
      </c>
      <c r="G1182" t="s">
        <v>112</v>
      </c>
      <c r="H1182">
        <v>3</v>
      </c>
      <c r="I1182" t="s">
        <v>112</v>
      </c>
      <c r="J1182">
        <v>505</v>
      </c>
      <c r="K1182">
        <v>1263</v>
      </c>
      <c r="L1182">
        <v>1</v>
      </c>
      <c r="M1182">
        <v>243</v>
      </c>
      <c r="N1182">
        <v>608</v>
      </c>
      <c r="O1182">
        <v>1</v>
      </c>
      <c r="P1182">
        <v>286</v>
      </c>
      <c r="Q1182">
        <v>515</v>
      </c>
      <c r="R1182">
        <v>1</v>
      </c>
      <c r="S1182">
        <v>3000000</v>
      </c>
      <c r="T1182" t="s">
        <v>2458</v>
      </c>
      <c r="U1182" t="s">
        <v>1662</v>
      </c>
      <c r="W1182">
        <v>562.5</v>
      </c>
      <c r="X1182" t="b">
        <v>0</v>
      </c>
    </row>
    <row r="1183" spans="1:24" x14ac:dyDescent="0.25">
      <c r="A1183">
        <v>1184</v>
      </c>
      <c r="B1183" t="s">
        <v>2637</v>
      </c>
      <c r="C1183">
        <v>3</v>
      </c>
      <c r="D1183">
        <v>5</v>
      </c>
      <c r="E1183">
        <v>25</v>
      </c>
      <c r="F1183">
        <v>3</v>
      </c>
      <c r="G1183" t="s">
        <v>112</v>
      </c>
      <c r="H1183">
        <v>3</v>
      </c>
      <c r="I1183" t="s">
        <v>112</v>
      </c>
      <c r="J1183">
        <v>259</v>
      </c>
      <c r="K1183">
        <v>622</v>
      </c>
      <c r="L1183">
        <v>1</v>
      </c>
      <c r="M1183">
        <v>89</v>
      </c>
      <c r="N1183">
        <v>267</v>
      </c>
      <c r="O1183">
        <v>1</v>
      </c>
      <c r="P1183">
        <v>190</v>
      </c>
      <c r="Q1183">
        <v>323</v>
      </c>
      <c r="R1183">
        <v>1</v>
      </c>
      <c r="S1183">
        <v>1500000</v>
      </c>
      <c r="T1183" t="s">
        <v>112</v>
      </c>
      <c r="U1183" t="s">
        <v>112</v>
      </c>
      <c r="W1183">
        <v>300</v>
      </c>
      <c r="X1183" t="b">
        <v>0</v>
      </c>
    </row>
    <row r="1184" spans="1:24" x14ac:dyDescent="0.25">
      <c r="A1184">
        <v>1185</v>
      </c>
      <c r="B1184" t="s">
        <v>2638</v>
      </c>
      <c r="C1184">
        <v>4</v>
      </c>
      <c r="D1184">
        <v>11</v>
      </c>
      <c r="E1184">
        <v>70</v>
      </c>
      <c r="F1184">
        <v>3</v>
      </c>
      <c r="G1184" t="s">
        <v>112</v>
      </c>
      <c r="H1184">
        <v>3</v>
      </c>
      <c r="I1184" t="s">
        <v>112</v>
      </c>
      <c r="J1184">
        <v>498</v>
      </c>
      <c r="K1184">
        <v>1245</v>
      </c>
      <c r="L1184">
        <v>1</v>
      </c>
      <c r="M1184">
        <v>240</v>
      </c>
      <c r="N1184">
        <v>600</v>
      </c>
      <c r="O1184">
        <v>1</v>
      </c>
      <c r="P1184">
        <v>291</v>
      </c>
      <c r="Q1184">
        <v>524</v>
      </c>
      <c r="R1184">
        <v>1</v>
      </c>
      <c r="S1184">
        <v>3000000</v>
      </c>
      <c r="T1184" t="s">
        <v>2639</v>
      </c>
      <c r="U1184" t="s">
        <v>1666</v>
      </c>
      <c r="W1184">
        <v>562.5</v>
      </c>
      <c r="X1184" t="b">
        <v>0</v>
      </c>
    </row>
    <row r="1185" spans="1:24" x14ac:dyDescent="0.25">
      <c r="A1185">
        <v>1186</v>
      </c>
      <c r="B1185" t="s">
        <v>2640</v>
      </c>
      <c r="C1185">
        <v>3</v>
      </c>
      <c r="D1185">
        <v>5</v>
      </c>
      <c r="E1185">
        <v>25</v>
      </c>
      <c r="F1185">
        <v>4</v>
      </c>
      <c r="G1185" t="s">
        <v>112</v>
      </c>
      <c r="H1185">
        <v>3</v>
      </c>
      <c r="I1185" t="s">
        <v>112</v>
      </c>
      <c r="J1185">
        <v>257</v>
      </c>
      <c r="K1185">
        <v>617</v>
      </c>
      <c r="L1185">
        <v>1</v>
      </c>
      <c r="M1185">
        <v>92</v>
      </c>
      <c r="N1185">
        <v>276</v>
      </c>
      <c r="O1185">
        <v>1</v>
      </c>
      <c r="P1185">
        <v>187</v>
      </c>
      <c r="Q1185">
        <v>318</v>
      </c>
      <c r="R1185">
        <v>1</v>
      </c>
      <c r="S1185">
        <v>1500000</v>
      </c>
      <c r="T1185" t="s">
        <v>112</v>
      </c>
      <c r="U1185" t="s">
        <v>112</v>
      </c>
      <c r="W1185">
        <v>300</v>
      </c>
      <c r="X1185" t="b">
        <v>0</v>
      </c>
    </row>
    <row r="1186" spans="1:24" x14ac:dyDescent="0.25">
      <c r="A1186">
        <v>1187</v>
      </c>
      <c r="B1186" t="s">
        <v>2641</v>
      </c>
      <c r="C1186">
        <v>4</v>
      </c>
      <c r="D1186">
        <v>11</v>
      </c>
      <c r="E1186">
        <v>70</v>
      </c>
      <c r="F1186">
        <v>4</v>
      </c>
      <c r="G1186" t="s">
        <v>112</v>
      </c>
      <c r="H1186">
        <v>3</v>
      </c>
      <c r="I1186" t="s">
        <v>112</v>
      </c>
      <c r="J1186">
        <v>494</v>
      </c>
      <c r="K1186">
        <v>1235</v>
      </c>
      <c r="L1186">
        <v>1</v>
      </c>
      <c r="M1186">
        <v>248</v>
      </c>
      <c r="N1186">
        <v>620</v>
      </c>
      <c r="O1186">
        <v>1</v>
      </c>
      <c r="P1186">
        <v>286</v>
      </c>
      <c r="Q1186">
        <v>515</v>
      </c>
      <c r="R1186">
        <v>1</v>
      </c>
      <c r="S1186">
        <v>3000000</v>
      </c>
      <c r="T1186" t="s">
        <v>2642</v>
      </c>
      <c r="U1186" t="s">
        <v>1670</v>
      </c>
      <c r="W1186">
        <v>562.5</v>
      </c>
      <c r="X1186" t="b">
        <v>0</v>
      </c>
    </row>
    <row r="1187" spans="1:24" x14ac:dyDescent="0.25">
      <c r="A1187">
        <v>1188</v>
      </c>
      <c r="B1187" t="s">
        <v>2459</v>
      </c>
      <c r="C1187">
        <v>6</v>
      </c>
      <c r="D1187">
        <v>40</v>
      </c>
      <c r="E1187">
        <v>50</v>
      </c>
      <c r="F1187">
        <v>2</v>
      </c>
      <c r="G1187" t="s">
        <v>112</v>
      </c>
      <c r="H1187">
        <v>5</v>
      </c>
      <c r="I1187" t="s">
        <v>112</v>
      </c>
      <c r="J1187">
        <v>1241</v>
      </c>
      <c r="K1187">
        <v>2138</v>
      </c>
      <c r="L1187">
        <v>1</v>
      </c>
      <c r="M1187">
        <v>1001</v>
      </c>
      <c r="N1187">
        <v>1401</v>
      </c>
      <c r="O1187">
        <v>1</v>
      </c>
      <c r="P1187">
        <v>76</v>
      </c>
      <c r="Q1187">
        <v>152</v>
      </c>
      <c r="R1187">
        <v>1</v>
      </c>
      <c r="S1187">
        <v>5000000</v>
      </c>
      <c r="T1187" t="s">
        <v>2461</v>
      </c>
      <c r="U1187" t="s">
        <v>1206</v>
      </c>
      <c r="W1187">
        <v>1725</v>
      </c>
      <c r="X1187" t="b">
        <v>0</v>
      </c>
    </row>
    <row r="1188" spans="1:24" x14ac:dyDescent="0.25">
      <c r="A1188">
        <v>1189</v>
      </c>
      <c r="B1188" t="s">
        <v>2460</v>
      </c>
      <c r="C1188">
        <v>7</v>
      </c>
      <c r="D1188">
        <v>60</v>
      </c>
      <c r="E1188">
        <v>99</v>
      </c>
      <c r="F1188">
        <v>2</v>
      </c>
      <c r="G1188">
        <v>4</v>
      </c>
      <c r="H1188">
        <v>5</v>
      </c>
      <c r="I1188">
        <v>7</v>
      </c>
      <c r="J1188">
        <v>1810</v>
      </c>
      <c r="K1188">
        <v>3256</v>
      </c>
      <c r="L1188">
        <v>1</v>
      </c>
      <c r="M1188">
        <v>1261</v>
      </c>
      <c r="N1188">
        <v>1765</v>
      </c>
      <c r="O1188">
        <v>1</v>
      </c>
      <c r="P1188">
        <v>137</v>
      </c>
      <c r="Q1188">
        <v>274</v>
      </c>
      <c r="R1188">
        <v>1</v>
      </c>
      <c r="S1188">
        <v>5000000</v>
      </c>
      <c r="T1188" t="s">
        <v>2461</v>
      </c>
      <c r="U1188" t="s">
        <v>1206</v>
      </c>
      <c r="V1188" t="s">
        <v>2372</v>
      </c>
      <c r="W1188">
        <v>2512.5</v>
      </c>
      <c r="X1188" t="b">
        <v>0</v>
      </c>
    </row>
    <row r="1189" spans="1:24" x14ac:dyDescent="0.25">
      <c r="A1189">
        <v>1190</v>
      </c>
      <c r="B1189" t="s">
        <v>2526</v>
      </c>
      <c r="C1189">
        <v>5</v>
      </c>
      <c r="D1189">
        <v>25</v>
      </c>
      <c r="E1189">
        <v>70</v>
      </c>
      <c r="F1189">
        <v>2</v>
      </c>
      <c r="G1189">
        <v>2</v>
      </c>
      <c r="H1189">
        <v>4</v>
      </c>
      <c r="I1189" t="s">
        <v>112</v>
      </c>
      <c r="J1189">
        <v>421</v>
      </c>
      <c r="K1189">
        <v>2087</v>
      </c>
      <c r="L1189">
        <v>0.7</v>
      </c>
      <c r="M1189">
        <v>289</v>
      </c>
      <c r="N1189">
        <v>1254</v>
      </c>
      <c r="O1189">
        <v>0.7</v>
      </c>
      <c r="P1189">
        <v>0</v>
      </c>
      <c r="Q1189">
        <v>0</v>
      </c>
      <c r="R1189">
        <v>0.7</v>
      </c>
      <c r="S1189">
        <v>3000000</v>
      </c>
      <c r="T1189" t="s">
        <v>2462</v>
      </c>
      <c r="U1189" t="s">
        <v>1328</v>
      </c>
      <c r="V1189" t="s">
        <v>2373</v>
      </c>
      <c r="W1189">
        <v>1125</v>
      </c>
      <c r="X1189" t="b">
        <v>0</v>
      </c>
    </row>
    <row r="1190" spans="1:24" x14ac:dyDescent="0.25">
      <c r="A1190">
        <v>1191</v>
      </c>
      <c r="B1190" t="s">
        <v>2374</v>
      </c>
      <c r="C1190">
        <v>7</v>
      </c>
      <c r="D1190">
        <v>27</v>
      </c>
      <c r="E1190">
        <v>99</v>
      </c>
      <c r="F1190">
        <v>0</v>
      </c>
      <c r="G1190">
        <v>0</v>
      </c>
      <c r="H1190">
        <v>1</v>
      </c>
      <c r="I1190" t="s">
        <v>112</v>
      </c>
      <c r="J1190">
        <v>1055</v>
      </c>
      <c r="K1190">
        <v>2738</v>
      </c>
      <c r="L1190">
        <v>1</v>
      </c>
      <c r="M1190">
        <v>536</v>
      </c>
      <c r="N1190">
        <v>1390</v>
      </c>
      <c r="O1190">
        <v>1</v>
      </c>
      <c r="P1190">
        <v>186</v>
      </c>
      <c r="Q1190">
        <v>383</v>
      </c>
      <c r="R1190">
        <v>1</v>
      </c>
      <c r="S1190">
        <v>4000000</v>
      </c>
      <c r="T1190" t="s">
        <v>2375</v>
      </c>
      <c r="U1190" t="s">
        <v>1039</v>
      </c>
      <c r="V1190" t="s">
        <v>1040</v>
      </c>
      <c r="W1190">
        <v>1275</v>
      </c>
      <c r="X1190" t="b">
        <v>0</v>
      </c>
    </row>
    <row r="1191" spans="1:24" x14ac:dyDescent="0.25">
      <c r="A1191">
        <v>1192</v>
      </c>
      <c r="B1191" t="s">
        <v>2463</v>
      </c>
      <c r="C1191">
        <v>7</v>
      </c>
      <c r="D1191">
        <v>27</v>
      </c>
      <c r="E1191">
        <v>99</v>
      </c>
      <c r="F1191">
        <v>1</v>
      </c>
      <c r="G1191">
        <v>1</v>
      </c>
      <c r="H1191">
        <v>3</v>
      </c>
      <c r="I1191" t="s">
        <v>112</v>
      </c>
      <c r="J1191">
        <v>887</v>
      </c>
      <c r="K1191">
        <v>2129</v>
      </c>
      <c r="L1191">
        <v>1</v>
      </c>
      <c r="M1191">
        <v>442</v>
      </c>
      <c r="N1191">
        <v>1205</v>
      </c>
      <c r="O1191">
        <v>1</v>
      </c>
      <c r="P1191">
        <v>357</v>
      </c>
      <c r="Q1191">
        <v>708</v>
      </c>
      <c r="R1191">
        <v>1</v>
      </c>
      <c r="S1191">
        <v>4000000</v>
      </c>
      <c r="T1191" t="s">
        <v>2464</v>
      </c>
      <c r="U1191" t="s">
        <v>1044</v>
      </c>
      <c r="V1191" t="s">
        <v>1045</v>
      </c>
      <c r="W1191">
        <v>1275</v>
      </c>
      <c r="X1191" t="b">
        <v>0</v>
      </c>
    </row>
    <row r="1192" spans="1:24" x14ac:dyDescent="0.25">
      <c r="A1192">
        <v>1193</v>
      </c>
      <c r="B1192" t="s">
        <v>2465</v>
      </c>
      <c r="C1192">
        <v>7</v>
      </c>
      <c r="D1192">
        <v>27</v>
      </c>
      <c r="E1192">
        <v>99</v>
      </c>
      <c r="F1192">
        <v>2</v>
      </c>
      <c r="G1192">
        <v>2</v>
      </c>
      <c r="H1192">
        <v>6</v>
      </c>
      <c r="I1192" t="s">
        <v>112</v>
      </c>
      <c r="J1192">
        <v>799</v>
      </c>
      <c r="K1192">
        <v>2397</v>
      </c>
      <c r="L1192">
        <v>1</v>
      </c>
      <c r="M1192">
        <v>576</v>
      </c>
      <c r="N1192">
        <v>1886</v>
      </c>
      <c r="O1192">
        <v>1</v>
      </c>
      <c r="P1192">
        <v>104</v>
      </c>
      <c r="Q1192">
        <v>216</v>
      </c>
      <c r="R1192">
        <v>1</v>
      </c>
      <c r="S1192">
        <v>4000000</v>
      </c>
      <c r="T1192" t="s">
        <v>2466</v>
      </c>
      <c r="U1192" t="s">
        <v>1049</v>
      </c>
      <c r="V1192" t="s">
        <v>1050</v>
      </c>
      <c r="W1192">
        <v>1275</v>
      </c>
      <c r="X1192" t="b">
        <v>0</v>
      </c>
    </row>
    <row r="1193" spans="1:24" x14ac:dyDescent="0.25">
      <c r="A1193">
        <v>1194</v>
      </c>
      <c r="B1193" t="s">
        <v>2376</v>
      </c>
      <c r="C1193">
        <v>7</v>
      </c>
      <c r="D1193">
        <v>27</v>
      </c>
      <c r="E1193">
        <v>99</v>
      </c>
      <c r="F1193">
        <v>3</v>
      </c>
      <c r="G1193">
        <v>3</v>
      </c>
      <c r="H1193">
        <v>2</v>
      </c>
      <c r="I1193" t="s">
        <v>112</v>
      </c>
      <c r="J1193">
        <v>1246</v>
      </c>
      <c r="K1193">
        <v>4238</v>
      </c>
      <c r="L1193">
        <v>1</v>
      </c>
      <c r="M1193">
        <v>423</v>
      </c>
      <c r="N1193">
        <v>1311</v>
      </c>
      <c r="O1193">
        <v>1</v>
      </c>
      <c r="P1193">
        <v>26</v>
      </c>
      <c r="Q1193">
        <v>39</v>
      </c>
      <c r="R1193">
        <v>1</v>
      </c>
      <c r="S1193">
        <v>4000000</v>
      </c>
      <c r="T1193" t="s">
        <v>2377</v>
      </c>
      <c r="U1193" t="s">
        <v>1054</v>
      </c>
      <c r="V1193" t="s">
        <v>1055</v>
      </c>
      <c r="W1193">
        <v>1275</v>
      </c>
      <c r="X1193" t="b">
        <v>0</v>
      </c>
    </row>
    <row r="1194" spans="1:24" x14ac:dyDescent="0.25">
      <c r="A1194">
        <v>1195</v>
      </c>
      <c r="B1194" t="s">
        <v>2378</v>
      </c>
      <c r="C1194">
        <v>7</v>
      </c>
      <c r="D1194">
        <v>27</v>
      </c>
      <c r="E1194">
        <v>99</v>
      </c>
      <c r="F1194">
        <v>4</v>
      </c>
      <c r="G1194">
        <v>4</v>
      </c>
      <c r="H1194">
        <v>6</v>
      </c>
      <c r="I1194" t="s">
        <v>112</v>
      </c>
      <c r="J1194">
        <v>463</v>
      </c>
      <c r="K1194">
        <v>1389</v>
      </c>
      <c r="L1194">
        <v>1</v>
      </c>
      <c r="M1194">
        <v>564</v>
      </c>
      <c r="N1194">
        <v>1898</v>
      </c>
      <c r="O1194">
        <v>1</v>
      </c>
      <c r="P1194">
        <v>320</v>
      </c>
      <c r="Q1194">
        <v>480</v>
      </c>
      <c r="R1194">
        <v>1</v>
      </c>
      <c r="S1194">
        <v>4000000</v>
      </c>
      <c r="T1194" t="s">
        <v>2379</v>
      </c>
      <c r="U1194" t="s">
        <v>1059</v>
      </c>
      <c r="V1194" t="s">
        <v>1060</v>
      </c>
      <c r="W1194">
        <v>1275</v>
      </c>
      <c r="X1194" t="b">
        <v>0</v>
      </c>
    </row>
    <row r="1195" spans="1:24" x14ac:dyDescent="0.25">
      <c r="A1195">
        <v>1196</v>
      </c>
      <c r="B1195" t="s">
        <v>2380</v>
      </c>
      <c r="C1195">
        <v>7</v>
      </c>
      <c r="D1195">
        <v>35</v>
      </c>
      <c r="E1195">
        <v>99</v>
      </c>
      <c r="F1195">
        <v>0</v>
      </c>
      <c r="G1195">
        <v>4</v>
      </c>
      <c r="H1195">
        <v>1</v>
      </c>
      <c r="I1195">
        <v>4</v>
      </c>
      <c r="J1195">
        <v>1048</v>
      </c>
      <c r="K1195">
        <v>2720</v>
      </c>
      <c r="L1195">
        <v>1</v>
      </c>
      <c r="M1195">
        <v>632</v>
      </c>
      <c r="N1195">
        <v>1530</v>
      </c>
      <c r="O1195">
        <v>1</v>
      </c>
      <c r="P1195">
        <v>129</v>
      </c>
      <c r="Q1195">
        <v>275</v>
      </c>
      <c r="R1195">
        <v>1</v>
      </c>
      <c r="S1195">
        <v>4000000</v>
      </c>
      <c r="T1195" t="s">
        <v>2381</v>
      </c>
      <c r="U1195" t="s">
        <v>1950</v>
      </c>
      <c r="V1195" t="s">
        <v>2300</v>
      </c>
      <c r="W1195">
        <v>1575</v>
      </c>
      <c r="X1195" t="b">
        <v>1</v>
      </c>
    </row>
    <row r="1196" spans="1:24" x14ac:dyDescent="0.25">
      <c r="A1196">
        <v>1197</v>
      </c>
      <c r="B1196" t="s">
        <v>2382</v>
      </c>
      <c r="C1196">
        <v>7</v>
      </c>
      <c r="D1196">
        <v>35</v>
      </c>
      <c r="E1196">
        <v>99</v>
      </c>
      <c r="F1196">
        <v>2</v>
      </c>
      <c r="G1196">
        <v>3</v>
      </c>
      <c r="H1196">
        <v>3</v>
      </c>
      <c r="I1196">
        <v>4</v>
      </c>
      <c r="J1196">
        <v>1113</v>
      </c>
      <c r="K1196">
        <v>2683</v>
      </c>
      <c r="L1196">
        <v>1</v>
      </c>
      <c r="M1196">
        <v>482</v>
      </c>
      <c r="N1196">
        <v>1105</v>
      </c>
      <c r="O1196">
        <v>1</v>
      </c>
      <c r="P1196">
        <v>201</v>
      </c>
      <c r="Q1196">
        <v>472</v>
      </c>
      <c r="R1196">
        <v>1</v>
      </c>
      <c r="S1196">
        <v>4000000</v>
      </c>
      <c r="T1196" t="s">
        <v>2383</v>
      </c>
      <c r="U1196" t="s">
        <v>1954</v>
      </c>
      <c r="V1196" t="s">
        <v>2301</v>
      </c>
      <c r="W1196">
        <v>1575</v>
      </c>
      <c r="X1196" t="b">
        <v>1</v>
      </c>
    </row>
    <row r="1197" spans="1:24" x14ac:dyDescent="0.25">
      <c r="A1197">
        <v>1198</v>
      </c>
      <c r="B1197" t="s">
        <v>2384</v>
      </c>
      <c r="C1197">
        <v>6</v>
      </c>
      <c r="D1197">
        <v>30</v>
      </c>
      <c r="E1197">
        <v>50</v>
      </c>
      <c r="F1197">
        <v>1</v>
      </c>
      <c r="G1197">
        <v>4</v>
      </c>
      <c r="H1197">
        <v>5</v>
      </c>
      <c r="I1197">
        <v>2</v>
      </c>
      <c r="J1197">
        <v>377</v>
      </c>
      <c r="K1197">
        <v>1697</v>
      </c>
      <c r="L1197">
        <v>1</v>
      </c>
      <c r="M1197">
        <v>118</v>
      </c>
      <c r="N1197">
        <v>531</v>
      </c>
      <c r="O1197">
        <v>1</v>
      </c>
      <c r="P1197">
        <v>113</v>
      </c>
      <c r="Q1197">
        <v>237</v>
      </c>
      <c r="R1197">
        <v>1</v>
      </c>
      <c r="S1197">
        <v>4000000</v>
      </c>
      <c r="T1197" t="s">
        <v>2385</v>
      </c>
      <c r="U1197" t="s">
        <v>2386</v>
      </c>
      <c r="W1197">
        <v>1350</v>
      </c>
      <c r="X1197" t="b">
        <v>1</v>
      </c>
    </row>
    <row r="1198" spans="1:24" x14ac:dyDescent="0.25">
      <c r="A1198">
        <v>1199</v>
      </c>
      <c r="B1198" t="s">
        <v>2387</v>
      </c>
      <c r="C1198">
        <v>7</v>
      </c>
      <c r="D1198">
        <v>50</v>
      </c>
      <c r="E1198">
        <v>99</v>
      </c>
      <c r="F1198">
        <v>1</v>
      </c>
      <c r="G1198">
        <v>4</v>
      </c>
      <c r="H1198">
        <v>5</v>
      </c>
      <c r="I1198">
        <v>2</v>
      </c>
      <c r="J1198">
        <v>1358</v>
      </c>
      <c r="K1198">
        <v>3927</v>
      </c>
      <c r="L1198">
        <v>1</v>
      </c>
      <c r="M1198">
        <v>478</v>
      </c>
      <c r="N1198">
        <v>1201</v>
      </c>
      <c r="O1198">
        <v>1</v>
      </c>
      <c r="P1198">
        <v>213</v>
      </c>
      <c r="Q1198">
        <v>412</v>
      </c>
      <c r="R1198">
        <v>1</v>
      </c>
      <c r="S1198">
        <v>4000000</v>
      </c>
      <c r="T1198" t="s">
        <v>2385</v>
      </c>
      <c r="U1198" t="s">
        <v>2386</v>
      </c>
      <c r="V1198" t="s">
        <v>2388</v>
      </c>
      <c r="W1198">
        <v>2137.5</v>
      </c>
      <c r="X1198" t="b">
        <v>1</v>
      </c>
    </row>
    <row r="1199" spans="1:24" x14ac:dyDescent="0.25">
      <c r="A1199">
        <v>1200</v>
      </c>
      <c r="B1199" t="s">
        <v>2389</v>
      </c>
      <c r="C1199">
        <v>6</v>
      </c>
      <c r="D1199">
        <v>25</v>
      </c>
      <c r="E1199">
        <v>99</v>
      </c>
      <c r="F1199">
        <v>0</v>
      </c>
      <c r="G1199">
        <v>0</v>
      </c>
      <c r="H1199">
        <v>6</v>
      </c>
      <c r="I1199" t="s">
        <v>112</v>
      </c>
      <c r="J1199">
        <v>522</v>
      </c>
      <c r="K1199">
        <v>1345</v>
      </c>
      <c r="L1199">
        <v>1</v>
      </c>
      <c r="M1199">
        <v>685</v>
      </c>
      <c r="N1199">
        <v>1813</v>
      </c>
      <c r="O1199">
        <v>1</v>
      </c>
      <c r="P1199">
        <v>191</v>
      </c>
      <c r="Q1199">
        <v>401</v>
      </c>
      <c r="R1199">
        <v>1</v>
      </c>
      <c r="S1199">
        <v>3000000</v>
      </c>
      <c r="T1199" t="s">
        <v>2390</v>
      </c>
      <c r="U1199" t="s">
        <v>1270</v>
      </c>
      <c r="V1199" t="s">
        <v>2249</v>
      </c>
      <c r="W1199">
        <v>1162.5</v>
      </c>
      <c r="X1199" t="b">
        <v>0</v>
      </c>
    </row>
    <row r="1200" spans="1:24" x14ac:dyDescent="0.25">
      <c r="A1200">
        <v>1201</v>
      </c>
      <c r="B1200" t="s">
        <v>2391</v>
      </c>
      <c r="C1200">
        <v>7</v>
      </c>
      <c r="D1200">
        <v>40</v>
      </c>
      <c r="E1200">
        <v>99</v>
      </c>
      <c r="F1200">
        <v>1</v>
      </c>
      <c r="G1200">
        <v>4</v>
      </c>
      <c r="H1200">
        <v>6</v>
      </c>
      <c r="I1200" t="s">
        <v>112</v>
      </c>
      <c r="J1200">
        <v>868</v>
      </c>
      <c r="K1200">
        <v>2220</v>
      </c>
      <c r="L1200">
        <v>1</v>
      </c>
      <c r="M1200">
        <v>766</v>
      </c>
      <c r="N1200">
        <v>2015</v>
      </c>
      <c r="O1200">
        <v>1</v>
      </c>
      <c r="P1200">
        <v>104</v>
      </c>
      <c r="Q1200">
        <v>198</v>
      </c>
      <c r="R1200">
        <v>1</v>
      </c>
      <c r="S1200">
        <v>4000000</v>
      </c>
      <c r="T1200" t="s">
        <v>2392</v>
      </c>
      <c r="U1200" t="s">
        <v>2264</v>
      </c>
      <c r="V1200" t="s">
        <v>2266</v>
      </c>
      <c r="W1200">
        <v>1762.5</v>
      </c>
      <c r="X1200" t="b">
        <v>0</v>
      </c>
    </row>
    <row r="1201" spans="1:24" x14ac:dyDescent="0.25">
      <c r="A1201">
        <v>1202</v>
      </c>
      <c r="B1201" t="s">
        <v>2393</v>
      </c>
      <c r="C1201">
        <v>5</v>
      </c>
      <c r="D1201">
        <v>25</v>
      </c>
      <c r="E1201">
        <v>50</v>
      </c>
      <c r="F1201">
        <v>0</v>
      </c>
      <c r="G1201">
        <v>3</v>
      </c>
      <c r="H1201">
        <v>6</v>
      </c>
      <c r="I1201" t="s">
        <v>112</v>
      </c>
      <c r="J1201">
        <v>255</v>
      </c>
      <c r="K1201">
        <v>1148</v>
      </c>
      <c r="L1201">
        <v>1</v>
      </c>
      <c r="M1201">
        <v>166</v>
      </c>
      <c r="N1201">
        <v>747</v>
      </c>
      <c r="O1201">
        <v>1</v>
      </c>
      <c r="P1201">
        <v>96</v>
      </c>
      <c r="Q1201">
        <v>182</v>
      </c>
      <c r="R1201">
        <v>1</v>
      </c>
      <c r="S1201">
        <v>4000000</v>
      </c>
      <c r="T1201" t="s">
        <v>2394</v>
      </c>
      <c r="U1201" t="s">
        <v>2395</v>
      </c>
      <c r="W1201">
        <v>1125</v>
      </c>
      <c r="X1201" t="b">
        <v>0</v>
      </c>
    </row>
    <row r="1202" spans="1:24" x14ac:dyDescent="0.25">
      <c r="A1202">
        <v>1203</v>
      </c>
      <c r="B1202" t="s">
        <v>2396</v>
      </c>
      <c r="C1202">
        <v>6</v>
      </c>
      <c r="D1202">
        <v>30</v>
      </c>
      <c r="E1202">
        <v>99</v>
      </c>
      <c r="F1202">
        <v>0</v>
      </c>
      <c r="G1202">
        <v>3</v>
      </c>
      <c r="H1202">
        <v>6</v>
      </c>
      <c r="I1202" t="s">
        <v>112</v>
      </c>
      <c r="J1202">
        <v>918</v>
      </c>
      <c r="K1202">
        <v>2395</v>
      </c>
      <c r="L1202">
        <v>1</v>
      </c>
      <c r="M1202">
        <v>672</v>
      </c>
      <c r="N1202">
        <v>1680</v>
      </c>
      <c r="O1202">
        <v>1</v>
      </c>
      <c r="P1202">
        <v>164</v>
      </c>
      <c r="Q1202">
        <v>282</v>
      </c>
      <c r="R1202">
        <v>1</v>
      </c>
      <c r="S1202">
        <v>4000000</v>
      </c>
      <c r="T1202" t="s">
        <v>2394</v>
      </c>
      <c r="U1202" t="s">
        <v>2395</v>
      </c>
      <c r="V1202" t="s">
        <v>2397</v>
      </c>
      <c r="W1202">
        <v>1350</v>
      </c>
      <c r="X1202" t="b">
        <v>0</v>
      </c>
    </row>
    <row r="1203" spans="1:24" x14ac:dyDescent="0.25">
      <c r="A1203">
        <v>1204</v>
      </c>
      <c r="B1203" t="s">
        <v>2398</v>
      </c>
      <c r="C1203">
        <v>4</v>
      </c>
      <c r="D1203">
        <v>10</v>
      </c>
      <c r="E1203">
        <v>50</v>
      </c>
      <c r="F1203">
        <v>4</v>
      </c>
      <c r="G1203" t="s">
        <v>112</v>
      </c>
      <c r="H1203">
        <v>5</v>
      </c>
      <c r="I1203">
        <v>6</v>
      </c>
      <c r="J1203">
        <v>228</v>
      </c>
      <c r="K1203">
        <v>1026</v>
      </c>
      <c r="L1203">
        <v>1</v>
      </c>
      <c r="M1203">
        <v>136</v>
      </c>
      <c r="N1203">
        <v>612</v>
      </c>
      <c r="O1203">
        <v>1</v>
      </c>
      <c r="P1203">
        <v>-200</v>
      </c>
      <c r="Q1203">
        <v>-200</v>
      </c>
      <c r="R1203">
        <v>1</v>
      </c>
      <c r="S1203">
        <v>1500000</v>
      </c>
      <c r="T1203" t="s">
        <v>2399</v>
      </c>
      <c r="U1203" t="s">
        <v>776</v>
      </c>
      <c r="W1203">
        <v>525</v>
      </c>
      <c r="X1203" t="b">
        <v>0</v>
      </c>
    </row>
    <row r="1204" spans="1:24" x14ac:dyDescent="0.25">
      <c r="A1204">
        <v>1205</v>
      </c>
      <c r="B1204" t="s">
        <v>2400</v>
      </c>
      <c r="C1204">
        <v>5</v>
      </c>
      <c r="D1204">
        <v>15</v>
      </c>
      <c r="E1204">
        <v>99</v>
      </c>
      <c r="F1204">
        <v>4</v>
      </c>
      <c r="G1204" t="s">
        <v>112</v>
      </c>
      <c r="H1204">
        <v>5</v>
      </c>
      <c r="I1204">
        <v>6</v>
      </c>
      <c r="J1204">
        <v>821</v>
      </c>
      <c r="K1204">
        <v>2053</v>
      </c>
      <c r="L1204">
        <v>1</v>
      </c>
      <c r="M1204">
        <v>551</v>
      </c>
      <c r="N1204">
        <v>1378</v>
      </c>
      <c r="O1204">
        <v>1</v>
      </c>
      <c r="P1204">
        <v>-200</v>
      </c>
      <c r="Q1204">
        <v>-200</v>
      </c>
      <c r="R1204">
        <v>1</v>
      </c>
      <c r="S1204">
        <v>3000000</v>
      </c>
      <c r="T1204" t="s">
        <v>2399</v>
      </c>
      <c r="U1204" t="s">
        <v>776</v>
      </c>
      <c r="V1204" t="s">
        <v>2401</v>
      </c>
      <c r="W1204">
        <v>750</v>
      </c>
      <c r="X1204" t="b">
        <v>0</v>
      </c>
    </row>
    <row r="1205" spans="1:24" x14ac:dyDescent="0.25">
      <c r="A1205">
        <v>1206</v>
      </c>
      <c r="B1205" t="s">
        <v>2467</v>
      </c>
      <c r="C1205">
        <v>7</v>
      </c>
      <c r="D1205">
        <v>60</v>
      </c>
      <c r="E1205">
        <v>99</v>
      </c>
      <c r="F1205">
        <v>2</v>
      </c>
      <c r="G1205">
        <v>3</v>
      </c>
      <c r="H1205">
        <v>4</v>
      </c>
      <c r="I1205">
        <v>5</v>
      </c>
      <c r="J1205">
        <v>1528</v>
      </c>
      <c r="K1205">
        <v>4326</v>
      </c>
      <c r="L1205">
        <v>1</v>
      </c>
      <c r="M1205">
        <v>739</v>
      </c>
      <c r="N1205">
        <v>1602</v>
      </c>
      <c r="O1205">
        <v>1</v>
      </c>
      <c r="P1205">
        <v>34</v>
      </c>
      <c r="Q1205">
        <v>179</v>
      </c>
      <c r="R1205">
        <v>1</v>
      </c>
      <c r="S1205">
        <v>4000000</v>
      </c>
      <c r="T1205" t="s">
        <v>2468</v>
      </c>
      <c r="U1205" t="s">
        <v>547</v>
      </c>
      <c r="V1205" t="s">
        <v>2402</v>
      </c>
      <c r="W1205">
        <v>2512.5</v>
      </c>
      <c r="X1205" t="b">
        <v>0</v>
      </c>
    </row>
    <row r="1206" spans="1:24" x14ac:dyDescent="0.25">
      <c r="A1206">
        <v>1207</v>
      </c>
      <c r="B1206" t="s">
        <v>2469</v>
      </c>
      <c r="C1206">
        <v>7</v>
      </c>
      <c r="D1206">
        <v>60</v>
      </c>
      <c r="E1206">
        <v>99</v>
      </c>
      <c r="F1206">
        <v>4</v>
      </c>
      <c r="G1206">
        <v>0</v>
      </c>
      <c r="H1206">
        <v>4</v>
      </c>
      <c r="I1206">
        <v>7</v>
      </c>
      <c r="J1206">
        <v>1488</v>
      </c>
      <c r="K1206">
        <v>4318</v>
      </c>
      <c r="L1206">
        <v>1</v>
      </c>
      <c r="M1206">
        <v>766</v>
      </c>
      <c r="N1206">
        <v>1709</v>
      </c>
      <c r="O1206">
        <v>1</v>
      </c>
      <c r="P1206">
        <v>28</v>
      </c>
      <c r="Q1206">
        <v>98</v>
      </c>
      <c r="R1206">
        <v>1</v>
      </c>
      <c r="S1206">
        <v>4000000</v>
      </c>
      <c r="T1206" t="s">
        <v>2470</v>
      </c>
      <c r="U1206" t="s">
        <v>549</v>
      </c>
      <c r="V1206" t="s">
        <v>2403</v>
      </c>
      <c r="W1206">
        <v>2512.5</v>
      </c>
      <c r="X1206" t="b">
        <v>0</v>
      </c>
    </row>
    <row r="1207" spans="1:24" x14ac:dyDescent="0.25">
      <c r="A1207">
        <v>1208</v>
      </c>
      <c r="B1207" t="s">
        <v>2404</v>
      </c>
      <c r="C1207">
        <v>7</v>
      </c>
      <c r="D1207">
        <v>35</v>
      </c>
      <c r="E1207">
        <v>99</v>
      </c>
      <c r="F1207">
        <v>1</v>
      </c>
      <c r="G1207">
        <v>3</v>
      </c>
      <c r="H1207">
        <v>2</v>
      </c>
      <c r="I1207" t="s">
        <v>112</v>
      </c>
      <c r="J1207">
        <v>2111</v>
      </c>
      <c r="K1207">
        <v>4019</v>
      </c>
      <c r="L1207">
        <v>1</v>
      </c>
      <c r="M1207">
        <v>1156</v>
      </c>
      <c r="N1207">
        <v>1209</v>
      </c>
      <c r="O1207">
        <v>1</v>
      </c>
      <c r="P1207">
        <v>81</v>
      </c>
      <c r="Q1207">
        <v>179</v>
      </c>
      <c r="R1207">
        <v>1</v>
      </c>
      <c r="S1207">
        <v>4000000</v>
      </c>
      <c r="T1207" t="s">
        <v>2405</v>
      </c>
      <c r="U1207" t="s">
        <v>396</v>
      </c>
      <c r="V1207" t="s">
        <v>964</v>
      </c>
      <c r="W1207">
        <v>1575</v>
      </c>
      <c r="X1207" t="b">
        <v>0</v>
      </c>
    </row>
    <row r="1208" spans="1:24" x14ac:dyDescent="0.25">
      <c r="A1208">
        <v>1209</v>
      </c>
      <c r="B1208" t="s">
        <v>2406</v>
      </c>
      <c r="C1208">
        <v>7</v>
      </c>
      <c r="D1208">
        <v>35</v>
      </c>
      <c r="E1208">
        <v>99</v>
      </c>
      <c r="F1208">
        <v>2</v>
      </c>
      <c r="G1208">
        <v>0</v>
      </c>
      <c r="H1208">
        <v>1</v>
      </c>
      <c r="I1208" t="s">
        <v>112</v>
      </c>
      <c r="J1208">
        <v>1613</v>
      </c>
      <c r="K1208">
        <v>3007</v>
      </c>
      <c r="L1208">
        <v>1</v>
      </c>
      <c r="M1208">
        <v>1204</v>
      </c>
      <c r="N1208">
        <v>1261</v>
      </c>
      <c r="O1208">
        <v>1</v>
      </c>
      <c r="P1208">
        <v>255</v>
      </c>
      <c r="Q1208">
        <v>388</v>
      </c>
      <c r="R1208">
        <v>1</v>
      </c>
      <c r="S1208">
        <v>4000000</v>
      </c>
      <c r="T1208" t="s">
        <v>2407</v>
      </c>
      <c r="U1208" t="s">
        <v>398</v>
      </c>
      <c r="V1208" t="s">
        <v>966</v>
      </c>
      <c r="W1208">
        <v>1575</v>
      </c>
      <c r="X1208" t="b">
        <v>0</v>
      </c>
    </row>
    <row r="1209" spans="1:24" x14ac:dyDescent="0.25">
      <c r="A1209">
        <v>1210</v>
      </c>
      <c r="B1209" t="s">
        <v>2471</v>
      </c>
      <c r="C1209">
        <v>6</v>
      </c>
      <c r="D1209">
        <v>28</v>
      </c>
      <c r="E1209">
        <v>99</v>
      </c>
      <c r="F1209">
        <v>0</v>
      </c>
      <c r="G1209">
        <v>0</v>
      </c>
      <c r="H1209">
        <v>6</v>
      </c>
      <c r="I1209" t="s">
        <v>112</v>
      </c>
      <c r="J1209">
        <v>235</v>
      </c>
      <c r="K1209">
        <v>988</v>
      </c>
      <c r="L1209">
        <v>0.7</v>
      </c>
      <c r="M1209">
        <v>481</v>
      </c>
      <c r="N1209">
        <v>1543</v>
      </c>
      <c r="O1209">
        <v>0.7</v>
      </c>
      <c r="P1209">
        <v>337</v>
      </c>
      <c r="Q1209">
        <v>506</v>
      </c>
      <c r="R1209">
        <v>0.7</v>
      </c>
      <c r="S1209">
        <v>2500000</v>
      </c>
      <c r="T1209" t="s">
        <v>2472</v>
      </c>
      <c r="U1209" t="s">
        <v>760</v>
      </c>
      <c r="V1209" t="s">
        <v>762</v>
      </c>
      <c r="W1209">
        <v>1275</v>
      </c>
      <c r="X1209" t="b">
        <v>0</v>
      </c>
    </row>
    <row r="1210" spans="1:24" x14ac:dyDescent="0.25">
      <c r="A1210">
        <v>1211</v>
      </c>
      <c r="B1210" t="s">
        <v>2473</v>
      </c>
      <c r="C1210">
        <v>6</v>
      </c>
      <c r="D1210">
        <v>28</v>
      </c>
      <c r="E1210">
        <v>99</v>
      </c>
      <c r="F1210">
        <v>1</v>
      </c>
      <c r="G1210">
        <v>1</v>
      </c>
      <c r="H1210">
        <v>2</v>
      </c>
      <c r="I1210">
        <v>7</v>
      </c>
      <c r="J1210">
        <v>691</v>
      </c>
      <c r="K1210">
        <v>2611</v>
      </c>
      <c r="L1210">
        <v>0.7</v>
      </c>
      <c r="M1210">
        <v>543</v>
      </c>
      <c r="N1210">
        <v>1629</v>
      </c>
      <c r="O1210">
        <v>0.7</v>
      </c>
      <c r="P1210">
        <v>0</v>
      </c>
      <c r="Q1210">
        <v>-50</v>
      </c>
      <c r="R1210">
        <v>0.7</v>
      </c>
      <c r="S1210">
        <v>2500000</v>
      </c>
      <c r="T1210" t="s">
        <v>2474</v>
      </c>
      <c r="U1210" t="s">
        <v>764</v>
      </c>
      <c r="V1210" t="s">
        <v>766</v>
      </c>
      <c r="W1210">
        <v>1275</v>
      </c>
      <c r="X1210" t="b">
        <v>0</v>
      </c>
    </row>
    <row r="1211" spans="1:24" x14ac:dyDescent="0.25">
      <c r="A1211">
        <v>1212</v>
      </c>
      <c r="B1211" t="s">
        <v>2475</v>
      </c>
      <c r="C1211">
        <v>6</v>
      </c>
      <c r="D1211">
        <v>28</v>
      </c>
      <c r="E1211">
        <v>99</v>
      </c>
      <c r="F1211">
        <v>2</v>
      </c>
      <c r="G1211">
        <v>2</v>
      </c>
      <c r="H1211">
        <v>6</v>
      </c>
      <c r="I1211" t="s">
        <v>112</v>
      </c>
      <c r="J1211">
        <v>194</v>
      </c>
      <c r="K1211">
        <v>935</v>
      </c>
      <c r="L1211">
        <v>0.7</v>
      </c>
      <c r="M1211">
        <v>513</v>
      </c>
      <c r="N1211">
        <v>1639</v>
      </c>
      <c r="O1211">
        <v>0.7</v>
      </c>
      <c r="P1211">
        <v>310</v>
      </c>
      <c r="Q1211">
        <v>465</v>
      </c>
      <c r="R1211">
        <v>0.7</v>
      </c>
      <c r="S1211">
        <v>2500000</v>
      </c>
      <c r="T1211" t="s">
        <v>2476</v>
      </c>
      <c r="U1211" t="s">
        <v>768</v>
      </c>
      <c r="V1211" t="s">
        <v>770</v>
      </c>
      <c r="W1211">
        <v>1275</v>
      </c>
      <c r="X1211" t="b">
        <v>0</v>
      </c>
    </row>
    <row r="1212" spans="1:24" x14ac:dyDescent="0.25">
      <c r="A1212">
        <v>1213</v>
      </c>
      <c r="B1212" t="s">
        <v>2477</v>
      </c>
      <c r="C1212">
        <v>6</v>
      </c>
      <c r="D1212">
        <v>28</v>
      </c>
      <c r="E1212">
        <v>99</v>
      </c>
      <c r="F1212">
        <v>3</v>
      </c>
      <c r="G1212">
        <v>3</v>
      </c>
      <c r="H1212">
        <v>3</v>
      </c>
      <c r="I1212" t="s">
        <v>112</v>
      </c>
      <c r="J1212">
        <v>238</v>
      </c>
      <c r="K1212">
        <v>945</v>
      </c>
      <c r="L1212">
        <v>0.7</v>
      </c>
      <c r="M1212">
        <v>473</v>
      </c>
      <c r="N1212">
        <v>1419</v>
      </c>
      <c r="O1212">
        <v>0.7</v>
      </c>
      <c r="P1212">
        <v>333</v>
      </c>
      <c r="Q1212">
        <v>590</v>
      </c>
      <c r="R1212">
        <v>0.7</v>
      </c>
      <c r="S1212">
        <v>2500000</v>
      </c>
      <c r="T1212" t="s">
        <v>2478</v>
      </c>
      <c r="U1212" t="s">
        <v>772</v>
      </c>
      <c r="V1212" t="s">
        <v>774</v>
      </c>
      <c r="W1212">
        <v>1275</v>
      </c>
      <c r="X1212" t="b">
        <v>0</v>
      </c>
    </row>
    <row r="1213" spans="1:24" x14ac:dyDescent="0.25">
      <c r="A1213">
        <v>1214</v>
      </c>
      <c r="B1213" t="s">
        <v>2479</v>
      </c>
      <c r="C1213">
        <v>6</v>
      </c>
      <c r="D1213">
        <v>28</v>
      </c>
      <c r="E1213">
        <v>99</v>
      </c>
      <c r="F1213">
        <v>4</v>
      </c>
      <c r="G1213">
        <v>4</v>
      </c>
      <c r="H1213">
        <v>6</v>
      </c>
      <c r="I1213">
        <v>7</v>
      </c>
      <c r="J1213">
        <v>611</v>
      </c>
      <c r="K1213">
        <v>2355</v>
      </c>
      <c r="L1213">
        <v>0.7</v>
      </c>
      <c r="M1213">
        <v>554</v>
      </c>
      <c r="N1213">
        <v>1712</v>
      </c>
      <c r="O1213">
        <v>0.7</v>
      </c>
      <c r="P1213">
        <v>0</v>
      </c>
      <c r="Q1213">
        <v>-50</v>
      </c>
      <c r="R1213">
        <v>0.7</v>
      </c>
      <c r="S1213">
        <v>2500000</v>
      </c>
      <c r="T1213" t="s">
        <v>2480</v>
      </c>
      <c r="U1213" t="s">
        <v>776</v>
      </c>
      <c r="V1213" t="s">
        <v>778</v>
      </c>
      <c r="W1213">
        <v>1275</v>
      </c>
      <c r="X1213" t="b">
        <v>0</v>
      </c>
    </row>
    <row r="1214" spans="1:24" x14ac:dyDescent="0.25">
      <c r="A1214">
        <v>1215</v>
      </c>
      <c r="B1214" t="s">
        <v>2481</v>
      </c>
      <c r="C1214">
        <v>8</v>
      </c>
      <c r="D1214">
        <v>110</v>
      </c>
      <c r="E1214">
        <v>99</v>
      </c>
      <c r="F1214">
        <v>4</v>
      </c>
      <c r="G1214">
        <v>4</v>
      </c>
      <c r="H1214">
        <v>4</v>
      </c>
      <c r="I1214" t="s">
        <v>112</v>
      </c>
      <c r="J1214">
        <v>924</v>
      </c>
      <c r="K1214">
        <v>2533</v>
      </c>
      <c r="L1214">
        <v>1.5</v>
      </c>
      <c r="M1214">
        <v>1169</v>
      </c>
      <c r="N1214">
        <v>1570</v>
      </c>
      <c r="O1214">
        <v>1.5</v>
      </c>
      <c r="P1214">
        <v>-250</v>
      </c>
      <c r="Q1214">
        <v>-200</v>
      </c>
      <c r="R1214">
        <v>1.5</v>
      </c>
      <c r="S1214">
        <v>5000000</v>
      </c>
      <c r="T1214" t="s">
        <v>1241</v>
      </c>
      <c r="U1214" t="s">
        <v>1242</v>
      </c>
      <c r="V1214" t="s">
        <v>2408</v>
      </c>
      <c r="W1214">
        <v>4425</v>
      </c>
      <c r="X1214" t="b">
        <v>0</v>
      </c>
    </row>
    <row r="1215" spans="1:24" x14ac:dyDescent="0.25">
      <c r="A1215">
        <v>1216</v>
      </c>
      <c r="B1215" t="s">
        <v>2482</v>
      </c>
      <c r="C1215">
        <v>7</v>
      </c>
      <c r="D1215">
        <v>40</v>
      </c>
      <c r="E1215">
        <v>99</v>
      </c>
      <c r="F1215">
        <v>4</v>
      </c>
      <c r="G1215">
        <v>1</v>
      </c>
      <c r="H1215">
        <v>5</v>
      </c>
      <c r="I1215" t="s">
        <v>112</v>
      </c>
      <c r="J1215">
        <v>971</v>
      </c>
      <c r="K1215">
        <v>2428</v>
      </c>
      <c r="L1215">
        <v>1</v>
      </c>
      <c r="M1215">
        <v>754</v>
      </c>
      <c r="N1215">
        <v>1306</v>
      </c>
      <c r="O1215">
        <v>1</v>
      </c>
      <c r="P1215">
        <v>369</v>
      </c>
      <c r="Q1215">
        <v>554</v>
      </c>
      <c r="R1215">
        <v>1</v>
      </c>
      <c r="S1215">
        <v>4000000</v>
      </c>
      <c r="T1215" t="s">
        <v>2483</v>
      </c>
      <c r="U1215" t="s">
        <v>1152</v>
      </c>
      <c r="V1215" t="s">
        <v>2234</v>
      </c>
      <c r="W1215">
        <v>1762.5</v>
      </c>
      <c r="X1215" t="b">
        <v>0</v>
      </c>
    </row>
    <row r="1216" spans="1:24" x14ac:dyDescent="0.25">
      <c r="A1216">
        <v>1217</v>
      </c>
      <c r="B1216" t="s">
        <v>2484</v>
      </c>
      <c r="C1216">
        <v>7</v>
      </c>
      <c r="D1216">
        <v>60</v>
      </c>
      <c r="E1216">
        <v>99</v>
      </c>
      <c r="F1216">
        <v>3</v>
      </c>
      <c r="G1216">
        <v>1</v>
      </c>
      <c r="H1216">
        <v>5</v>
      </c>
      <c r="I1216">
        <v>3</v>
      </c>
      <c r="J1216">
        <v>981</v>
      </c>
      <c r="K1216">
        <v>2454</v>
      </c>
      <c r="L1216">
        <v>1</v>
      </c>
      <c r="M1216">
        <v>582</v>
      </c>
      <c r="N1216">
        <v>1330</v>
      </c>
      <c r="O1216">
        <v>1</v>
      </c>
      <c r="P1216">
        <v>345</v>
      </c>
      <c r="Q1216">
        <v>863</v>
      </c>
      <c r="R1216">
        <v>1</v>
      </c>
      <c r="S1216">
        <v>5000000</v>
      </c>
      <c r="T1216" t="s">
        <v>2486</v>
      </c>
      <c r="U1216" t="s">
        <v>1180</v>
      </c>
      <c r="V1216" t="s">
        <v>2485</v>
      </c>
      <c r="W1216">
        <v>2512.5</v>
      </c>
      <c r="X1216" t="b">
        <v>0</v>
      </c>
    </row>
    <row r="1217" spans="1:24" x14ac:dyDescent="0.25">
      <c r="A1217">
        <v>1218</v>
      </c>
      <c r="B1217" t="s">
        <v>2487</v>
      </c>
      <c r="C1217">
        <v>7</v>
      </c>
      <c r="D1217">
        <v>35</v>
      </c>
      <c r="E1217">
        <v>99</v>
      </c>
      <c r="F1217">
        <v>3</v>
      </c>
      <c r="G1217">
        <v>3</v>
      </c>
      <c r="H1217">
        <v>5</v>
      </c>
      <c r="I1217">
        <v>2</v>
      </c>
      <c r="J1217">
        <v>1271</v>
      </c>
      <c r="K1217">
        <v>3528</v>
      </c>
      <c r="L1217">
        <v>1</v>
      </c>
      <c r="M1217">
        <v>913</v>
      </c>
      <c r="N1217">
        <v>1370</v>
      </c>
      <c r="O1217">
        <v>1</v>
      </c>
      <c r="P1217">
        <v>256</v>
      </c>
      <c r="Q1217">
        <v>384</v>
      </c>
      <c r="R1217">
        <v>1</v>
      </c>
      <c r="S1217">
        <v>4000000</v>
      </c>
      <c r="T1217" t="s">
        <v>1344</v>
      </c>
      <c r="U1217" t="s">
        <v>1345</v>
      </c>
      <c r="V1217" t="s">
        <v>2409</v>
      </c>
      <c r="W1217">
        <v>1575</v>
      </c>
      <c r="X1217" t="b">
        <v>0</v>
      </c>
    </row>
    <row r="1218" spans="1:24" x14ac:dyDescent="0.25">
      <c r="A1218">
        <v>1219</v>
      </c>
      <c r="B1218" t="s">
        <v>2643</v>
      </c>
      <c r="C1218">
        <v>4</v>
      </c>
      <c r="D1218">
        <v>10</v>
      </c>
      <c r="E1218">
        <v>50</v>
      </c>
      <c r="F1218">
        <v>3</v>
      </c>
      <c r="G1218" t="s">
        <v>112</v>
      </c>
      <c r="H1218">
        <v>2</v>
      </c>
      <c r="I1218" t="s">
        <v>112</v>
      </c>
      <c r="J1218">
        <v>349</v>
      </c>
      <c r="K1218">
        <v>1571</v>
      </c>
      <c r="L1218">
        <v>1</v>
      </c>
      <c r="M1218">
        <v>102</v>
      </c>
      <c r="N1218">
        <v>459</v>
      </c>
      <c r="O1218">
        <v>1</v>
      </c>
      <c r="P1218">
        <v>52</v>
      </c>
      <c r="Q1218">
        <v>109</v>
      </c>
      <c r="R1218">
        <v>1</v>
      </c>
      <c r="S1218">
        <v>2000000</v>
      </c>
      <c r="T1218" t="s">
        <v>2644</v>
      </c>
      <c r="U1218" t="s">
        <v>2645</v>
      </c>
      <c r="W1218">
        <v>525</v>
      </c>
      <c r="X1218" t="b">
        <v>0</v>
      </c>
    </row>
    <row r="1219" spans="1:24" x14ac:dyDescent="0.25">
      <c r="A1219">
        <v>1220</v>
      </c>
      <c r="B1219" t="s">
        <v>2646</v>
      </c>
      <c r="C1219">
        <v>5</v>
      </c>
      <c r="D1219">
        <v>20</v>
      </c>
      <c r="E1219">
        <v>99</v>
      </c>
      <c r="F1219">
        <v>3</v>
      </c>
      <c r="G1219">
        <v>0</v>
      </c>
      <c r="H1219">
        <v>2</v>
      </c>
      <c r="I1219" t="s">
        <v>112</v>
      </c>
      <c r="J1219">
        <v>1257</v>
      </c>
      <c r="K1219">
        <v>2993</v>
      </c>
      <c r="L1219">
        <v>1</v>
      </c>
      <c r="M1219">
        <v>413</v>
      </c>
      <c r="N1219">
        <v>1033</v>
      </c>
      <c r="O1219">
        <v>1</v>
      </c>
      <c r="P1219">
        <v>98</v>
      </c>
      <c r="Q1219">
        <v>206</v>
      </c>
      <c r="R1219">
        <v>1</v>
      </c>
      <c r="S1219">
        <v>4000000</v>
      </c>
      <c r="T1219" t="s">
        <v>2644</v>
      </c>
      <c r="U1219" t="s">
        <v>2645</v>
      </c>
      <c r="V1219" t="s">
        <v>2244</v>
      </c>
      <c r="W1219">
        <v>937.5</v>
      </c>
      <c r="X1219" t="b">
        <v>0</v>
      </c>
    </row>
    <row r="1220" spans="1:24" x14ac:dyDescent="0.25">
      <c r="A1220">
        <v>1221</v>
      </c>
      <c r="B1220" t="s">
        <v>2410</v>
      </c>
      <c r="C1220">
        <v>7</v>
      </c>
      <c r="D1220">
        <v>35</v>
      </c>
      <c r="E1220">
        <v>99</v>
      </c>
      <c r="F1220">
        <v>4</v>
      </c>
      <c r="G1220">
        <v>3</v>
      </c>
      <c r="H1220">
        <v>2</v>
      </c>
      <c r="I1220">
        <v>7</v>
      </c>
      <c r="J1220">
        <v>1401</v>
      </c>
      <c r="K1220">
        <v>3903</v>
      </c>
      <c r="L1220">
        <v>1</v>
      </c>
      <c r="M1220">
        <v>539</v>
      </c>
      <c r="N1220">
        <v>1398</v>
      </c>
      <c r="O1220">
        <v>1</v>
      </c>
      <c r="P1220">
        <v>15</v>
      </c>
      <c r="Q1220">
        <v>52</v>
      </c>
      <c r="R1220">
        <v>1</v>
      </c>
      <c r="S1220">
        <v>4000000</v>
      </c>
      <c r="T1220" t="s">
        <v>1545</v>
      </c>
      <c r="U1220" t="s">
        <v>1546</v>
      </c>
      <c r="V1220" t="s">
        <v>1548</v>
      </c>
      <c r="W1220">
        <v>1575</v>
      </c>
      <c r="X1220" t="b">
        <v>1</v>
      </c>
    </row>
    <row r="1221" spans="1:24" x14ac:dyDescent="0.25">
      <c r="A1221">
        <v>1222</v>
      </c>
      <c r="B1221" t="s">
        <v>2488</v>
      </c>
      <c r="C1221">
        <v>6</v>
      </c>
      <c r="D1221">
        <v>40</v>
      </c>
      <c r="E1221">
        <v>50</v>
      </c>
      <c r="F1221">
        <v>2</v>
      </c>
      <c r="G1221" t="s">
        <v>112</v>
      </c>
      <c r="H1221">
        <v>5</v>
      </c>
      <c r="I1221">
        <v>6</v>
      </c>
      <c r="J1221">
        <v>451</v>
      </c>
      <c r="K1221">
        <v>1082</v>
      </c>
      <c r="L1221">
        <v>1</v>
      </c>
      <c r="M1221">
        <v>668</v>
      </c>
      <c r="N1221">
        <v>1136</v>
      </c>
      <c r="O1221">
        <v>1</v>
      </c>
      <c r="P1221">
        <v>201</v>
      </c>
      <c r="Q1221">
        <v>342</v>
      </c>
      <c r="R1221">
        <v>1</v>
      </c>
      <c r="S1221">
        <v>4000000</v>
      </c>
      <c r="T1221" t="s">
        <v>2489</v>
      </c>
      <c r="U1221" t="s">
        <v>2647</v>
      </c>
      <c r="W1221">
        <v>1725</v>
      </c>
      <c r="X1221" t="b">
        <v>0</v>
      </c>
    </row>
    <row r="1222" spans="1:24" x14ac:dyDescent="0.25">
      <c r="A1222">
        <v>1223</v>
      </c>
      <c r="B1222" t="s">
        <v>2490</v>
      </c>
      <c r="C1222">
        <v>7</v>
      </c>
      <c r="D1222">
        <v>60</v>
      </c>
      <c r="E1222">
        <v>99</v>
      </c>
      <c r="F1222">
        <v>2</v>
      </c>
      <c r="G1222">
        <v>2</v>
      </c>
      <c r="H1222">
        <v>5</v>
      </c>
      <c r="I1222">
        <v>6</v>
      </c>
      <c r="J1222">
        <v>866</v>
      </c>
      <c r="K1222">
        <v>2065</v>
      </c>
      <c r="L1222">
        <v>1</v>
      </c>
      <c r="M1222">
        <v>1022</v>
      </c>
      <c r="N1222">
        <v>1540</v>
      </c>
      <c r="O1222">
        <v>1</v>
      </c>
      <c r="P1222">
        <v>308</v>
      </c>
      <c r="Q1222">
        <v>494</v>
      </c>
      <c r="R1222">
        <v>1</v>
      </c>
      <c r="S1222">
        <v>4000000</v>
      </c>
      <c r="T1222" t="s">
        <v>2489</v>
      </c>
      <c r="U1222" t="s">
        <v>2647</v>
      </c>
      <c r="V1222" t="s">
        <v>2411</v>
      </c>
      <c r="W1222">
        <v>2512.5</v>
      </c>
      <c r="X1222" t="b">
        <v>0</v>
      </c>
    </row>
    <row r="1223" spans="1:24" x14ac:dyDescent="0.25">
      <c r="A1223">
        <v>1224</v>
      </c>
      <c r="B1223" t="s">
        <v>2648</v>
      </c>
      <c r="C1223">
        <v>5</v>
      </c>
      <c r="D1223">
        <v>12</v>
      </c>
      <c r="E1223">
        <v>50</v>
      </c>
      <c r="F1223">
        <v>0</v>
      </c>
      <c r="G1223" t="s">
        <v>112</v>
      </c>
      <c r="H1223">
        <v>4</v>
      </c>
      <c r="I1223" t="s">
        <v>112</v>
      </c>
      <c r="J1223">
        <v>955</v>
      </c>
      <c r="K1223">
        <v>2292</v>
      </c>
      <c r="L1223">
        <v>1</v>
      </c>
      <c r="M1223">
        <v>415</v>
      </c>
      <c r="N1223">
        <v>706</v>
      </c>
      <c r="O1223">
        <v>1</v>
      </c>
      <c r="P1223">
        <v>0</v>
      </c>
      <c r="Q1223">
        <v>0</v>
      </c>
      <c r="R1223">
        <v>1</v>
      </c>
      <c r="S1223">
        <v>4000000</v>
      </c>
      <c r="T1223" t="s">
        <v>2491</v>
      </c>
      <c r="U1223" t="s">
        <v>2492</v>
      </c>
      <c r="W1223">
        <v>637.5</v>
      </c>
      <c r="X1223" t="b">
        <v>0</v>
      </c>
    </row>
    <row r="1224" spans="1:24" x14ac:dyDescent="0.25">
      <c r="A1224">
        <v>1225</v>
      </c>
      <c r="B1224" t="s">
        <v>2649</v>
      </c>
      <c r="C1224">
        <v>6</v>
      </c>
      <c r="D1224">
        <v>50</v>
      </c>
      <c r="E1224">
        <v>99</v>
      </c>
      <c r="F1224">
        <v>0</v>
      </c>
      <c r="G1224" t="s">
        <v>112</v>
      </c>
      <c r="H1224">
        <v>4</v>
      </c>
      <c r="I1224" t="s">
        <v>112</v>
      </c>
      <c r="J1224">
        <v>1834</v>
      </c>
      <c r="K1224">
        <v>4585</v>
      </c>
      <c r="L1224">
        <v>1</v>
      </c>
      <c r="M1224">
        <v>635</v>
      </c>
      <c r="N1224">
        <v>1203</v>
      </c>
      <c r="O1224">
        <v>1</v>
      </c>
      <c r="P1224">
        <v>0</v>
      </c>
      <c r="Q1224">
        <v>0</v>
      </c>
      <c r="R1224">
        <v>1</v>
      </c>
      <c r="S1224">
        <v>5000000</v>
      </c>
      <c r="T1224" t="s">
        <v>2494</v>
      </c>
      <c r="U1224" t="s">
        <v>2492</v>
      </c>
      <c r="V1224" t="s">
        <v>2493</v>
      </c>
      <c r="W1224">
        <v>2100</v>
      </c>
      <c r="X1224" t="b">
        <v>0</v>
      </c>
    </row>
    <row r="1225" spans="1:24" x14ac:dyDescent="0.25">
      <c r="A1225">
        <v>1226</v>
      </c>
      <c r="B1225" t="s">
        <v>2650</v>
      </c>
      <c r="C1225">
        <v>5</v>
      </c>
      <c r="D1225">
        <v>12</v>
      </c>
      <c r="E1225">
        <v>50</v>
      </c>
      <c r="F1225">
        <v>1</v>
      </c>
      <c r="G1225" t="s">
        <v>112</v>
      </c>
      <c r="H1225">
        <v>4</v>
      </c>
      <c r="I1225" t="s">
        <v>112</v>
      </c>
      <c r="J1225">
        <v>966</v>
      </c>
      <c r="K1225">
        <v>2318</v>
      </c>
      <c r="L1225">
        <v>1</v>
      </c>
      <c r="M1225">
        <v>401</v>
      </c>
      <c r="N1225">
        <v>682</v>
      </c>
      <c r="O1225">
        <v>1</v>
      </c>
      <c r="P1225">
        <v>0</v>
      </c>
      <c r="Q1225">
        <v>0</v>
      </c>
      <c r="R1225">
        <v>1</v>
      </c>
      <c r="S1225">
        <v>4000000</v>
      </c>
      <c r="T1225" t="s">
        <v>2495</v>
      </c>
      <c r="U1225" t="s">
        <v>2496</v>
      </c>
      <c r="W1225">
        <v>637.5</v>
      </c>
      <c r="X1225" t="b">
        <v>0</v>
      </c>
    </row>
    <row r="1226" spans="1:24" x14ac:dyDescent="0.25">
      <c r="A1226">
        <v>1227</v>
      </c>
      <c r="B1226" t="s">
        <v>2651</v>
      </c>
      <c r="C1226">
        <v>6</v>
      </c>
      <c r="D1226">
        <v>50</v>
      </c>
      <c r="E1226">
        <v>99</v>
      </c>
      <c r="F1226">
        <v>1</v>
      </c>
      <c r="G1226" t="s">
        <v>112</v>
      </c>
      <c r="H1226">
        <v>4</v>
      </c>
      <c r="I1226" t="s">
        <v>112</v>
      </c>
      <c r="J1226">
        <v>1854</v>
      </c>
      <c r="K1226">
        <v>4635</v>
      </c>
      <c r="L1226">
        <v>1</v>
      </c>
      <c r="M1226">
        <v>614</v>
      </c>
      <c r="N1226">
        <v>1165</v>
      </c>
      <c r="O1226">
        <v>1</v>
      </c>
      <c r="P1226">
        <v>0</v>
      </c>
      <c r="Q1226">
        <v>0</v>
      </c>
      <c r="R1226">
        <v>1</v>
      </c>
      <c r="S1226">
        <v>5000000</v>
      </c>
      <c r="T1226" t="s">
        <v>2498</v>
      </c>
      <c r="U1226" t="s">
        <v>2496</v>
      </c>
      <c r="V1226" t="s">
        <v>2497</v>
      </c>
      <c r="W1226">
        <v>2100</v>
      </c>
      <c r="X1226" t="b">
        <v>0</v>
      </c>
    </row>
    <row r="1227" spans="1:24" x14ac:dyDescent="0.25">
      <c r="A1227">
        <v>1230</v>
      </c>
      <c r="B1227" t="s">
        <v>2652</v>
      </c>
      <c r="C1227">
        <v>6</v>
      </c>
      <c r="D1227">
        <v>12</v>
      </c>
      <c r="E1227">
        <v>99</v>
      </c>
      <c r="F1227">
        <v>0</v>
      </c>
      <c r="G1227" t="s">
        <v>112</v>
      </c>
      <c r="H1227">
        <v>5</v>
      </c>
      <c r="I1227" t="s">
        <v>112</v>
      </c>
      <c r="J1227">
        <v>628</v>
      </c>
      <c r="K1227">
        <v>1696</v>
      </c>
      <c r="L1227">
        <v>1</v>
      </c>
      <c r="M1227">
        <v>512</v>
      </c>
      <c r="N1227">
        <v>1075</v>
      </c>
      <c r="O1227">
        <v>1</v>
      </c>
      <c r="P1227">
        <v>48</v>
      </c>
      <c r="Q1227">
        <v>168</v>
      </c>
      <c r="R1227">
        <v>1</v>
      </c>
      <c r="S1227">
        <v>4000000</v>
      </c>
      <c r="T1227" t="s">
        <v>1732</v>
      </c>
      <c r="U1227" t="s">
        <v>1730</v>
      </c>
      <c r="V1227" t="s">
        <v>2292</v>
      </c>
      <c r="W1227">
        <v>675</v>
      </c>
      <c r="X1227" t="b">
        <v>0</v>
      </c>
    </row>
    <row r="1228" spans="1:24" x14ac:dyDescent="0.25">
      <c r="A1228">
        <v>1231</v>
      </c>
      <c r="B1228" t="s">
        <v>2527</v>
      </c>
      <c r="C1228">
        <v>5</v>
      </c>
      <c r="D1228">
        <v>15</v>
      </c>
      <c r="E1228">
        <v>50</v>
      </c>
      <c r="F1228">
        <v>0</v>
      </c>
      <c r="G1228" t="s">
        <v>112</v>
      </c>
      <c r="H1228">
        <v>5</v>
      </c>
      <c r="I1228">
        <v>6</v>
      </c>
      <c r="J1228">
        <v>666</v>
      </c>
      <c r="K1228">
        <v>1598</v>
      </c>
      <c r="L1228">
        <v>1</v>
      </c>
      <c r="M1228">
        <v>674</v>
      </c>
      <c r="N1228">
        <v>1146</v>
      </c>
      <c r="O1228">
        <v>1</v>
      </c>
      <c r="P1228">
        <v>10</v>
      </c>
      <c r="Q1228">
        <v>17</v>
      </c>
      <c r="R1228">
        <v>1</v>
      </c>
      <c r="S1228">
        <v>4000000</v>
      </c>
      <c r="T1228" t="s">
        <v>2499</v>
      </c>
      <c r="U1228" t="s">
        <v>2500</v>
      </c>
      <c r="W1228">
        <v>750</v>
      </c>
      <c r="X1228" t="b">
        <v>0</v>
      </c>
    </row>
    <row r="1229" spans="1:24" x14ac:dyDescent="0.25">
      <c r="A1229">
        <v>1232</v>
      </c>
      <c r="B1229" t="s">
        <v>2528</v>
      </c>
      <c r="C1229">
        <v>6</v>
      </c>
      <c r="D1229">
        <v>25</v>
      </c>
      <c r="E1229">
        <v>99</v>
      </c>
      <c r="F1229">
        <v>0</v>
      </c>
      <c r="G1229" t="s">
        <v>112</v>
      </c>
      <c r="H1229">
        <v>5</v>
      </c>
      <c r="I1229">
        <v>6</v>
      </c>
      <c r="J1229">
        <v>1278</v>
      </c>
      <c r="K1229">
        <v>3195</v>
      </c>
      <c r="L1229">
        <v>1</v>
      </c>
      <c r="M1229">
        <v>1031</v>
      </c>
      <c r="N1229">
        <v>1856</v>
      </c>
      <c r="O1229">
        <v>1</v>
      </c>
      <c r="P1229">
        <v>15</v>
      </c>
      <c r="Q1229">
        <v>27</v>
      </c>
      <c r="R1229">
        <v>1</v>
      </c>
      <c r="S1229">
        <v>4000000</v>
      </c>
      <c r="T1229" t="s">
        <v>2499</v>
      </c>
      <c r="U1229" t="s">
        <v>2500</v>
      </c>
      <c r="V1229" t="s">
        <v>2501</v>
      </c>
      <c r="W1229">
        <v>1162.5</v>
      </c>
      <c r="X1229" t="b">
        <v>0</v>
      </c>
    </row>
    <row r="1230" spans="1:24" x14ac:dyDescent="0.25">
      <c r="A1230">
        <v>1233</v>
      </c>
      <c r="B1230" t="s">
        <v>2529</v>
      </c>
      <c r="C1230">
        <v>5</v>
      </c>
      <c r="D1230">
        <v>15</v>
      </c>
      <c r="E1230">
        <v>50</v>
      </c>
      <c r="F1230">
        <v>1</v>
      </c>
      <c r="G1230" t="s">
        <v>112</v>
      </c>
      <c r="H1230">
        <v>5</v>
      </c>
      <c r="I1230">
        <v>3</v>
      </c>
      <c r="J1230">
        <v>603</v>
      </c>
      <c r="K1230">
        <v>1447</v>
      </c>
      <c r="L1230">
        <v>1</v>
      </c>
      <c r="M1230">
        <v>466</v>
      </c>
      <c r="N1230">
        <v>792</v>
      </c>
      <c r="O1230">
        <v>1</v>
      </c>
      <c r="P1230">
        <v>189</v>
      </c>
      <c r="Q1230">
        <v>321</v>
      </c>
      <c r="R1230">
        <v>1</v>
      </c>
      <c r="S1230">
        <v>4000000</v>
      </c>
      <c r="T1230" t="s">
        <v>2502</v>
      </c>
      <c r="U1230" t="s">
        <v>2503</v>
      </c>
      <c r="W1230">
        <v>750</v>
      </c>
      <c r="X1230" t="b">
        <v>0</v>
      </c>
    </row>
    <row r="1231" spans="1:24" x14ac:dyDescent="0.25">
      <c r="A1231">
        <v>1234</v>
      </c>
      <c r="B1231" t="s">
        <v>2530</v>
      </c>
      <c r="C1231">
        <v>6</v>
      </c>
      <c r="D1231">
        <v>25</v>
      </c>
      <c r="E1231">
        <v>99</v>
      </c>
      <c r="F1231">
        <v>1</v>
      </c>
      <c r="G1231" t="s">
        <v>112</v>
      </c>
      <c r="H1231">
        <v>5</v>
      </c>
      <c r="I1231">
        <v>3</v>
      </c>
      <c r="J1231">
        <v>1158</v>
      </c>
      <c r="K1231">
        <v>2795</v>
      </c>
      <c r="L1231">
        <v>1</v>
      </c>
      <c r="M1231">
        <v>713</v>
      </c>
      <c r="N1231">
        <v>1183</v>
      </c>
      <c r="O1231">
        <v>1</v>
      </c>
      <c r="P1231">
        <v>289</v>
      </c>
      <c r="Q1231">
        <v>530</v>
      </c>
      <c r="R1231">
        <v>1</v>
      </c>
      <c r="S1231">
        <v>4000000</v>
      </c>
      <c r="T1231" t="s">
        <v>2502</v>
      </c>
      <c r="U1231" t="s">
        <v>2503</v>
      </c>
      <c r="V1231" t="s">
        <v>2504</v>
      </c>
      <c r="W1231">
        <v>1162.5</v>
      </c>
      <c r="X1231" t="b">
        <v>0</v>
      </c>
    </row>
    <row r="1232" spans="1:24" x14ac:dyDescent="0.25">
      <c r="A1232">
        <v>1235</v>
      </c>
      <c r="B1232" t="s">
        <v>2531</v>
      </c>
      <c r="C1232">
        <v>5</v>
      </c>
      <c r="D1232">
        <v>15</v>
      </c>
      <c r="E1232">
        <v>50</v>
      </c>
      <c r="F1232">
        <v>2</v>
      </c>
      <c r="G1232" t="s">
        <v>112</v>
      </c>
      <c r="H1232">
        <v>5</v>
      </c>
      <c r="I1232">
        <v>6</v>
      </c>
      <c r="J1232">
        <v>651</v>
      </c>
      <c r="K1232">
        <v>1562</v>
      </c>
      <c r="L1232">
        <v>1</v>
      </c>
      <c r="M1232">
        <v>488</v>
      </c>
      <c r="N1232">
        <v>830</v>
      </c>
      <c r="O1232">
        <v>1</v>
      </c>
      <c r="P1232">
        <v>128</v>
      </c>
      <c r="Q1232">
        <v>218</v>
      </c>
      <c r="R1232">
        <v>1</v>
      </c>
      <c r="S1232">
        <v>4000000</v>
      </c>
      <c r="T1232" t="s">
        <v>2505</v>
      </c>
      <c r="U1232" t="s">
        <v>2506</v>
      </c>
      <c r="W1232">
        <v>750</v>
      </c>
      <c r="X1232" t="b">
        <v>0</v>
      </c>
    </row>
    <row r="1233" spans="1:24" x14ac:dyDescent="0.25">
      <c r="A1233">
        <v>1236</v>
      </c>
      <c r="B1233" t="s">
        <v>2532</v>
      </c>
      <c r="C1233">
        <v>6</v>
      </c>
      <c r="D1233">
        <v>25</v>
      </c>
      <c r="E1233">
        <v>99</v>
      </c>
      <c r="F1233">
        <v>2</v>
      </c>
      <c r="G1233" t="s">
        <v>112</v>
      </c>
      <c r="H1233">
        <v>5</v>
      </c>
      <c r="I1233">
        <v>6</v>
      </c>
      <c r="J1233">
        <v>1250</v>
      </c>
      <c r="K1233">
        <v>2525</v>
      </c>
      <c r="L1233">
        <v>1</v>
      </c>
      <c r="M1233">
        <v>747</v>
      </c>
      <c r="N1233">
        <v>1645</v>
      </c>
      <c r="O1233">
        <v>1</v>
      </c>
      <c r="P1233">
        <v>196</v>
      </c>
      <c r="Q1233">
        <v>353</v>
      </c>
      <c r="R1233">
        <v>1</v>
      </c>
      <c r="S1233">
        <v>4000000</v>
      </c>
      <c r="T1233" t="s">
        <v>2505</v>
      </c>
      <c r="U1233" t="s">
        <v>2506</v>
      </c>
      <c r="V1233" t="s">
        <v>2507</v>
      </c>
      <c r="W1233">
        <v>1162.5</v>
      </c>
      <c r="X1233" t="b">
        <v>0</v>
      </c>
    </row>
    <row r="1234" spans="1:24" x14ac:dyDescent="0.25">
      <c r="A1234">
        <v>1237</v>
      </c>
      <c r="B1234" t="s">
        <v>2533</v>
      </c>
      <c r="C1234">
        <v>5</v>
      </c>
      <c r="D1234">
        <v>15</v>
      </c>
      <c r="E1234">
        <v>50</v>
      </c>
      <c r="F1234">
        <v>3</v>
      </c>
      <c r="G1234">
        <v>1</v>
      </c>
      <c r="H1234">
        <v>5</v>
      </c>
      <c r="I1234">
        <v>3</v>
      </c>
      <c r="J1234">
        <v>524</v>
      </c>
      <c r="K1234">
        <v>1258</v>
      </c>
      <c r="L1234">
        <v>1</v>
      </c>
      <c r="M1234">
        <v>461</v>
      </c>
      <c r="N1234">
        <v>784</v>
      </c>
      <c r="O1234">
        <v>1</v>
      </c>
      <c r="P1234">
        <v>233</v>
      </c>
      <c r="Q1234">
        <v>396</v>
      </c>
      <c r="R1234">
        <v>1</v>
      </c>
      <c r="S1234">
        <v>4000000</v>
      </c>
      <c r="T1234" t="s">
        <v>2508</v>
      </c>
      <c r="U1234" t="s">
        <v>2509</v>
      </c>
      <c r="W1234">
        <v>750</v>
      </c>
      <c r="X1234" t="b">
        <v>0</v>
      </c>
    </row>
    <row r="1235" spans="1:24" x14ac:dyDescent="0.25">
      <c r="A1235">
        <v>1238</v>
      </c>
      <c r="B1235" t="s">
        <v>2534</v>
      </c>
      <c r="C1235">
        <v>6</v>
      </c>
      <c r="D1235">
        <v>25</v>
      </c>
      <c r="E1235">
        <v>99</v>
      </c>
      <c r="F1235">
        <v>3</v>
      </c>
      <c r="G1235">
        <v>1</v>
      </c>
      <c r="H1235">
        <v>5</v>
      </c>
      <c r="I1235">
        <v>3</v>
      </c>
      <c r="J1235">
        <v>1006</v>
      </c>
      <c r="K1235">
        <v>2415</v>
      </c>
      <c r="L1235">
        <v>1</v>
      </c>
      <c r="M1235">
        <v>706</v>
      </c>
      <c r="N1235">
        <v>1221</v>
      </c>
      <c r="O1235">
        <v>1</v>
      </c>
      <c r="P1235">
        <v>356</v>
      </c>
      <c r="Q1235">
        <v>641</v>
      </c>
      <c r="R1235">
        <v>1</v>
      </c>
      <c r="S1235">
        <v>4000000</v>
      </c>
      <c r="T1235" t="s">
        <v>2508</v>
      </c>
      <c r="U1235" t="s">
        <v>2509</v>
      </c>
      <c r="V1235" t="s">
        <v>2510</v>
      </c>
      <c r="W1235">
        <v>1162.5</v>
      </c>
      <c r="X1235" t="b">
        <v>0</v>
      </c>
    </row>
    <row r="1236" spans="1:24" x14ac:dyDescent="0.25">
      <c r="A1236">
        <v>1239</v>
      </c>
      <c r="B1236" t="s">
        <v>2535</v>
      </c>
      <c r="C1236">
        <v>5</v>
      </c>
      <c r="D1236">
        <v>15</v>
      </c>
      <c r="E1236">
        <v>50</v>
      </c>
      <c r="F1236">
        <v>4</v>
      </c>
      <c r="G1236" t="s">
        <v>112</v>
      </c>
      <c r="H1236">
        <v>5</v>
      </c>
      <c r="I1236">
        <v>7</v>
      </c>
      <c r="J1236">
        <v>544</v>
      </c>
      <c r="K1236">
        <v>1306</v>
      </c>
      <c r="L1236">
        <v>1</v>
      </c>
      <c r="M1236">
        <v>760</v>
      </c>
      <c r="N1236">
        <v>1292</v>
      </c>
      <c r="O1236">
        <v>1</v>
      </c>
      <c r="P1236">
        <v>0</v>
      </c>
      <c r="Q1236">
        <v>0</v>
      </c>
      <c r="R1236">
        <v>1</v>
      </c>
      <c r="S1236">
        <v>4000000</v>
      </c>
      <c r="T1236" t="s">
        <v>2511</v>
      </c>
      <c r="U1236" t="s">
        <v>2512</v>
      </c>
      <c r="W1236">
        <v>750</v>
      </c>
      <c r="X1236" t="b">
        <v>0</v>
      </c>
    </row>
    <row r="1237" spans="1:24" x14ac:dyDescent="0.25">
      <c r="A1237">
        <v>1240</v>
      </c>
      <c r="B1237" t="s">
        <v>2536</v>
      </c>
      <c r="C1237">
        <v>6</v>
      </c>
      <c r="D1237">
        <v>25</v>
      </c>
      <c r="E1237">
        <v>99</v>
      </c>
      <c r="F1237">
        <v>4</v>
      </c>
      <c r="G1237" t="s">
        <v>112</v>
      </c>
      <c r="H1237">
        <v>5</v>
      </c>
      <c r="I1237">
        <v>7</v>
      </c>
      <c r="J1237">
        <v>1045</v>
      </c>
      <c r="K1237">
        <v>2613</v>
      </c>
      <c r="L1237">
        <v>1</v>
      </c>
      <c r="M1237">
        <v>1163</v>
      </c>
      <c r="N1237">
        <v>2093</v>
      </c>
      <c r="O1237">
        <v>1</v>
      </c>
      <c r="P1237">
        <v>0</v>
      </c>
      <c r="Q1237">
        <v>0</v>
      </c>
      <c r="R1237">
        <v>1</v>
      </c>
      <c r="S1237">
        <v>4000000</v>
      </c>
      <c r="T1237" t="s">
        <v>2511</v>
      </c>
      <c r="U1237" t="s">
        <v>2512</v>
      </c>
      <c r="V1237" t="s">
        <v>2513</v>
      </c>
      <c r="W1237">
        <v>1162.5</v>
      </c>
      <c r="X1237" t="b">
        <v>0</v>
      </c>
    </row>
    <row r="1238" spans="1:24" x14ac:dyDescent="0.25">
      <c r="A1238">
        <v>1241</v>
      </c>
      <c r="B1238" t="s">
        <v>2537</v>
      </c>
      <c r="C1238">
        <v>5</v>
      </c>
      <c r="D1238">
        <v>30</v>
      </c>
      <c r="E1238">
        <v>50</v>
      </c>
      <c r="F1238">
        <v>2</v>
      </c>
      <c r="G1238">
        <v>3</v>
      </c>
      <c r="H1238">
        <v>5</v>
      </c>
      <c r="I1238">
        <v>2</v>
      </c>
      <c r="J1238">
        <v>858</v>
      </c>
      <c r="K1238">
        <v>2059</v>
      </c>
      <c r="L1238">
        <v>1</v>
      </c>
      <c r="M1238">
        <v>485</v>
      </c>
      <c r="N1238">
        <v>825</v>
      </c>
      <c r="O1238">
        <v>1</v>
      </c>
      <c r="P1238">
        <v>66</v>
      </c>
      <c r="Q1238">
        <v>112</v>
      </c>
      <c r="R1238">
        <v>1</v>
      </c>
      <c r="S1238">
        <v>5000000</v>
      </c>
      <c r="T1238" t="s">
        <v>2514</v>
      </c>
      <c r="U1238" t="s">
        <v>2515</v>
      </c>
      <c r="W1238">
        <v>1312.5</v>
      </c>
      <c r="X1238" t="b">
        <v>0</v>
      </c>
    </row>
    <row r="1239" spans="1:24" x14ac:dyDescent="0.25">
      <c r="A1239">
        <v>1242</v>
      </c>
      <c r="B1239" t="s">
        <v>2538</v>
      </c>
      <c r="C1239">
        <v>6</v>
      </c>
      <c r="D1239">
        <v>50</v>
      </c>
      <c r="E1239">
        <v>99</v>
      </c>
      <c r="F1239">
        <v>2</v>
      </c>
      <c r="G1239">
        <v>3</v>
      </c>
      <c r="H1239">
        <v>5</v>
      </c>
      <c r="I1239">
        <v>2</v>
      </c>
      <c r="J1239">
        <v>1647</v>
      </c>
      <c r="K1239">
        <v>4118</v>
      </c>
      <c r="L1239">
        <v>1</v>
      </c>
      <c r="M1239">
        <v>743</v>
      </c>
      <c r="N1239">
        <v>1337</v>
      </c>
      <c r="O1239">
        <v>1</v>
      </c>
      <c r="P1239">
        <v>101</v>
      </c>
      <c r="Q1239">
        <v>182</v>
      </c>
      <c r="R1239">
        <v>1</v>
      </c>
      <c r="S1239">
        <v>5000000</v>
      </c>
      <c r="T1239" t="s">
        <v>2514</v>
      </c>
      <c r="U1239" t="s">
        <v>2515</v>
      </c>
      <c r="V1239" t="s">
        <v>2516</v>
      </c>
      <c r="W1239">
        <v>2100</v>
      </c>
      <c r="X1239" t="b">
        <v>0</v>
      </c>
    </row>
    <row r="1240" spans="1:24" x14ac:dyDescent="0.25">
      <c r="A1240">
        <v>1243</v>
      </c>
      <c r="B1240" t="s">
        <v>2539</v>
      </c>
      <c r="C1240">
        <v>6</v>
      </c>
      <c r="D1240">
        <v>40</v>
      </c>
      <c r="E1240">
        <v>50</v>
      </c>
      <c r="F1240">
        <v>0</v>
      </c>
      <c r="G1240">
        <v>4</v>
      </c>
      <c r="H1240">
        <v>5</v>
      </c>
      <c r="I1240">
        <v>4</v>
      </c>
      <c r="J1240">
        <v>822</v>
      </c>
      <c r="K1240">
        <v>1973</v>
      </c>
      <c r="L1240">
        <v>1</v>
      </c>
      <c r="M1240">
        <v>558</v>
      </c>
      <c r="N1240">
        <v>949</v>
      </c>
      <c r="O1240">
        <v>1</v>
      </c>
      <c r="P1240">
        <v>74</v>
      </c>
      <c r="Q1240">
        <v>126</v>
      </c>
      <c r="R1240">
        <v>1</v>
      </c>
      <c r="S1240">
        <v>5000000</v>
      </c>
      <c r="T1240" t="s">
        <v>2517</v>
      </c>
      <c r="U1240" t="s">
        <v>2518</v>
      </c>
      <c r="W1240">
        <v>1725</v>
      </c>
      <c r="X1240" t="b">
        <v>0</v>
      </c>
    </row>
    <row r="1241" spans="1:24" x14ac:dyDescent="0.25">
      <c r="A1241">
        <v>1244</v>
      </c>
      <c r="B1241" t="s">
        <v>2540</v>
      </c>
      <c r="C1241">
        <v>7</v>
      </c>
      <c r="D1241">
        <v>60</v>
      </c>
      <c r="E1241">
        <v>99</v>
      </c>
      <c r="F1241">
        <v>0</v>
      </c>
      <c r="G1241">
        <v>4</v>
      </c>
      <c r="H1241">
        <v>5</v>
      </c>
      <c r="I1241">
        <v>4</v>
      </c>
      <c r="J1241">
        <v>1578</v>
      </c>
      <c r="K1241">
        <v>3945</v>
      </c>
      <c r="L1241">
        <v>1</v>
      </c>
      <c r="M1241">
        <v>854</v>
      </c>
      <c r="N1241">
        <v>1537</v>
      </c>
      <c r="O1241">
        <v>1</v>
      </c>
      <c r="P1241">
        <v>113</v>
      </c>
      <c r="Q1241">
        <v>203</v>
      </c>
      <c r="R1241">
        <v>1</v>
      </c>
      <c r="S1241">
        <v>5000000</v>
      </c>
      <c r="T1241" t="s">
        <v>2517</v>
      </c>
      <c r="U1241" t="s">
        <v>2518</v>
      </c>
      <c r="V1241" t="s">
        <v>2519</v>
      </c>
      <c r="W1241">
        <v>2512.5</v>
      </c>
      <c r="X1241" t="b">
        <v>0</v>
      </c>
    </row>
    <row r="1242" spans="1:24" x14ac:dyDescent="0.25">
      <c r="A1242">
        <v>1245</v>
      </c>
      <c r="B1242" t="s">
        <v>2653</v>
      </c>
      <c r="C1242">
        <v>6</v>
      </c>
      <c r="D1242">
        <v>20</v>
      </c>
      <c r="E1242">
        <v>50</v>
      </c>
      <c r="F1242">
        <v>3</v>
      </c>
      <c r="G1242" t="s">
        <v>112</v>
      </c>
      <c r="H1242">
        <v>5</v>
      </c>
      <c r="I1242" t="s">
        <v>112</v>
      </c>
      <c r="J1242">
        <v>628</v>
      </c>
      <c r="K1242">
        <v>1507</v>
      </c>
      <c r="L1242">
        <v>1</v>
      </c>
      <c r="M1242">
        <v>405</v>
      </c>
      <c r="N1242">
        <v>689</v>
      </c>
      <c r="O1242">
        <v>1</v>
      </c>
      <c r="P1242">
        <v>185</v>
      </c>
      <c r="Q1242">
        <v>315</v>
      </c>
      <c r="R1242">
        <v>1</v>
      </c>
      <c r="S1242">
        <v>4000000</v>
      </c>
      <c r="T1242" t="s">
        <v>112</v>
      </c>
      <c r="U1242" t="s">
        <v>2654</v>
      </c>
      <c r="W1242">
        <v>975</v>
      </c>
      <c r="X1242" t="b">
        <v>0</v>
      </c>
    </row>
    <row r="1243" spans="1:24" x14ac:dyDescent="0.25">
      <c r="A1243">
        <v>1246</v>
      </c>
      <c r="B1243" t="s">
        <v>2655</v>
      </c>
      <c r="C1243">
        <v>7</v>
      </c>
      <c r="D1243">
        <v>40</v>
      </c>
      <c r="E1243">
        <v>99</v>
      </c>
      <c r="F1243">
        <v>3</v>
      </c>
      <c r="G1243">
        <v>3</v>
      </c>
      <c r="H1243">
        <v>5</v>
      </c>
      <c r="I1243">
        <v>4</v>
      </c>
      <c r="J1243">
        <v>1206</v>
      </c>
      <c r="K1243">
        <v>3015</v>
      </c>
      <c r="L1243">
        <v>1</v>
      </c>
      <c r="M1243">
        <v>620</v>
      </c>
      <c r="N1243">
        <v>1116</v>
      </c>
      <c r="O1243">
        <v>1</v>
      </c>
      <c r="P1243">
        <v>284</v>
      </c>
      <c r="Q1243">
        <v>511</v>
      </c>
      <c r="R1243">
        <v>1</v>
      </c>
      <c r="S1243">
        <v>4000000</v>
      </c>
      <c r="T1243" t="s">
        <v>2656</v>
      </c>
      <c r="U1243" t="s">
        <v>2654</v>
      </c>
      <c r="V1243" t="s">
        <v>2520</v>
      </c>
      <c r="W1243">
        <v>1762.5</v>
      </c>
      <c r="X1243" t="b">
        <v>0</v>
      </c>
    </row>
    <row r="1244" spans="1:24" x14ac:dyDescent="0.25">
      <c r="A1244">
        <v>1247</v>
      </c>
      <c r="B1244" t="s">
        <v>2657</v>
      </c>
      <c r="C1244">
        <v>6</v>
      </c>
      <c r="D1244">
        <v>20</v>
      </c>
      <c r="E1244">
        <v>50</v>
      </c>
      <c r="F1244">
        <v>4</v>
      </c>
      <c r="G1244" t="s">
        <v>112</v>
      </c>
      <c r="H1244">
        <v>5</v>
      </c>
      <c r="I1244" t="s">
        <v>112</v>
      </c>
      <c r="J1244">
        <v>669</v>
      </c>
      <c r="K1244">
        <v>1606</v>
      </c>
      <c r="L1244">
        <v>1</v>
      </c>
      <c r="M1244">
        <v>441</v>
      </c>
      <c r="N1244">
        <v>750</v>
      </c>
      <c r="O1244">
        <v>1</v>
      </c>
      <c r="P1244">
        <v>143</v>
      </c>
      <c r="Q1244">
        <v>243</v>
      </c>
      <c r="R1244">
        <v>1</v>
      </c>
      <c r="S1244">
        <v>4000000</v>
      </c>
      <c r="T1244" t="s">
        <v>112</v>
      </c>
      <c r="U1244" t="s">
        <v>2658</v>
      </c>
      <c r="W1244">
        <v>975</v>
      </c>
      <c r="X1244" t="b">
        <v>0</v>
      </c>
    </row>
    <row r="1245" spans="1:24" x14ac:dyDescent="0.25">
      <c r="A1245">
        <v>1248</v>
      </c>
      <c r="B1245" t="s">
        <v>2659</v>
      </c>
      <c r="C1245">
        <v>7</v>
      </c>
      <c r="D1245">
        <v>40</v>
      </c>
      <c r="E1245">
        <v>99</v>
      </c>
      <c r="F1245">
        <v>4</v>
      </c>
      <c r="G1245">
        <v>4</v>
      </c>
      <c r="H1245">
        <v>5</v>
      </c>
      <c r="I1245">
        <v>4</v>
      </c>
      <c r="J1245">
        <v>1285</v>
      </c>
      <c r="K1245">
        <v>3213</v>
      </c>
      <c r="L1245">
        <v>1</v>
      </c>
      <c r="M1245">
        <v>675</v>
      </c>
      <c r="N1245">
        <v>1215</v>
      </c>
      <c r="O1245">
        <v>1</v>
      </c>
      <c r="P1245">
        <v>219</v>
      </c>
      <c r="Q1245">
        <v>394</v>
      </c>
      <c r="R1245">
        <v>1</v>
      </c>
      <c r="S1245">
        <v>4000000</v>
      </c>
      <c r="T1245" t="s">
        <v>2660</v>
      </c>
      <c r="U1245" t="s">
        <v>2658</v>
      </c>
      <c r="V1245" t="s">
        <v>2521</v>
      </c>
      <c r="W1245">
        <v>1762.5</v>
      </c>
      <c r="X1245" t="b">
        <v>0</v>
      </c>
    </row>
    <row r="1246" spans="1:24" x14ac:dyDescent="0.25">
      <c r="A1246">
        <v>1249</v>
      </c>
      <c r="B1246" t="s">
        <v>2661</v>
      </c>
      <c r="C1246">
        <v>6</v>
      </c>
      <c r="D1246">
        <v>40</v>
      </c>
      <c r="E1246">
        <v>50</v>
      </c>
      <c r="F1246">
        <v>3</v>
      </c>
      <c r="G1246" t="s">
        <v>112</v>
      </c>
      <c r="H1246">
        <v>5</v>
      </c>
      <c r="I1246" t="s">
        <v>112</v>
      </c>
      <c r="J1246">
        <v>691</v>
      </c>
      <c r="K1246">
        <v>1658</v>
      </c>
      <c r="L1246">
        <v>1</v>
      </c>
      <c r="M1246">
        <v>481</v>
      </c>
      <c r="N1246">
        <v>818</v>
      </c>
      <c r="O1246">
        <v>1</v>
      </c>
      <c r="P1246">
        <v>181</v>
      </c>
      <c r="Q1246">
        <v>308</v>
      </c>
      <c r="R1246">
        <v>1</v>
      </c>
      <c r="S1246">
        <v>5000000</v>
      </c>
      <c r="T1246" t="s">
        <v>2662</v>
      </c>
      <c r="U1246" t="s">
        <v>2663</v>
      </c>
      <c r="W1246">
        <v>1725</v>
      </c>
      <c r="X1246" t="b">
        <v>0</v>
      </c>
    </row>
    <row r="1247" spans="1:24" x14ac:dyDescent="0.25">
      <c r="A1247">
        <v>1250</v>
      </c>
      <c r="B1247" t="s">
        <v>2664</v>
      </c>
      <c r="C1247">
        <v>7</v>
      </c>
      <c r="D1247">
        <v>60</v>
      </c>
      <c r="E1247">
        <v>99</v>
      </c>
      <c r="F1247">
        <v>3</v>
      </c>
      <c r="G1247">
        <v>4</v>
      </c>
      <c r="H1247">
        <v>5</v>
      </c>
      <c r="I1247">
        <v>7</v>
      </c>
      <c r="J1247">
        <v>1326</v>
      </c>
      <c r="K1247">
        <v>3315</v>
      </c>
      <c r="L1247">
        <v>1</v>
      </c>
      <c r="M1247">
        <v>736</v>
      </c>
      <c r="N1247">
        <v>1325</v>
      </c>
      <c r="O1247">
        <v>1</v>
      </c>
      <c r="P1247">
        <v>277</v>
      </c>
      <c r="Q1247">
        <v>399</v>
      </c>
      <c r="R1247">
        <v>1</v>
      </c>
      <c r="S1247">
        <v>5000000</v>
      </c>
      <c r="T1247" t="s">
        <v>2662</v>
      </c>
      <c r="U1247" t="s">
        <v>2663</v>
      </c>
      <c r="V1247" t="s">
        <v>2541</v>
      </c>
      <c r="W1247">
        <v>2512.5</v>
      </c>
      <c r="X1247" t="b">
        <v>0</v>
      </c>
    </row>
    <row r="1248" spans="1:24" x14ac:dyDescent="0.25">
      <c r="A1248">
        <v>1251</v>
      </c>
      <c r="B1248" t="s">
        <v>2722</v>
      </c>
      <c r="C1248">
        <v>6</v>
      </c>
      <c r="D1248">
        <v>45</v>
      </c>
      <c r="E1248">
        <v>50</v>
      </c>
      <c r="F1248">
        <v>0</v>
      </c>
      <c r="G1248" t="s">
        <v>112</v>
      </c>
      <c r="H1248">
        <v>5</v>
      </c>
      <c r="I1248">
        <v>4</v>
      </c>
      <c r="J1248">
        <v>852</v>
      </c>
      <c r="K1248">
        <v>2045</v>
      </c>
      <c r="L1248">
        <v>1</v>
      </c>
      <c r="M1248">
        <v>462</v>
      </c>
      <c r="N1248">
        <v>785</v>
      </c>
      <c r="O1248">
        <v>1</v>
      </c>
      <c r="P1248">
        <v>115</v>
      </c>
      <c r="Q1248">
        <v>196</v>
      </c>
      <c r="R1248">
        <v>1</v>
      </c>
      <c r="S1248">
        <v>5000000</v>
      </c>
      <c r="T1248" t="s">
        <v>2723</v>
      </c>
      <c r="U1248" t="s">
        <v>2724</v>
      </c>
      <c r="W1248">
        <v>1912.5</v>
      </c>
      <c r="X1248" t="b">
        <v>1</v>
      </c>
    </row>
    <row r="1249" spans="1:24" x14ac:dyDescent="0.25">
      <c r="A1249">
        <v>1252</v>
      </c>
      <c r="B1249" t="s">
        <v>2725</v>
      </c>
      <c r="C1249">
        <v>7</v>
      </c>
      <c r="D1249">
        <v>60</v>
      </c>
      <c r="E1249">
        <v>99</v>
      </c>
      <c r="F1249">
        <v>0</v>
      </c>
      <c r="G1249">
        <v>3</v>
      </c>
      <c r="H1249">
        <v>5</v>
      </c>
      <c r="I1249">
        <v>4</v>
      </c>
      <c r="J1249">
        <v>1636</v>
      </c>
      <c r="K1249">
        <v>3830</v>
      </c>
      <c r="L1249">
        <v>1</v>
      </c>
      <c r="M1249">
        <v>707</v>
      </c>
      <c r="N1249">
        <v>1303</v>
      </c>
      <c r="O1249">
        <v>1</v>
      </c>
      <c r="P1249">
        <v>176</v>
      </c>
      <c r="Q1249">
        <v>357</v>
      </c>
      <c r="R1249">
        <v>1</v>
      </c>
      <c r="S1249">
        <v>5000000</v>
      </c>
      <c r="T1249" t="s">
        <v>2723</v>
      </c>
      <c r="U1249" t="s">
        <v>2724</v>
      </c>
      <c r="V1249" t="s">
        <v>2296</v>
      </c>
      <c r="W1249">
        <v>2512.5</v>
      </c>
      <c r="X1249" t="b">
        <v>1</v>
      </c>
    </row>
    <row r="1250" spans="1:24" x14ac:dyDescent="0.25">
      <c r="A1250">
        <v>1253</v>
      </c>
      <c r="B1250" t="s">
        <v>2665</v>
      </c>
      <c r="C1250">
        <v>7</v>
      </c>
      <c r="D1250">
        <v>40</v>
      </c>
      <c r="E1250">
        <v>99</v>
      </c>
      <c r="F1250">
        <v>0</v>
      </c>
      <c r="G1250">
        <v>0</v>
      </c>
      <c r="H1250">
        <v>5</v>
      </c>
      <c r="I1250">
        <v>4</v>
      </c>
      <c r="J1250">
        <v>978</v>
      </c>
      <c r="K1250">
        <v>2545</v>
      </c>
      <c r="L1250">
        <v>1</v>
      </c>
      <c r="M1250">
        <v>641</v>
      </c>
      <c r="N1250">
        <v>1392</v>
      </c>
      <c r="O1250">
        <v>1</v>
      </c>
      <c r="P1250">
        <v>404</v>
      </c>
      <c r="Q1250">
        <v>606</v>
      </c>
      <c r="R1250">
        <v>1</v>
      </c>
      <c r="S1250">
        <v>4000000</v>
      </c>
      <c r="T1250" t="s">
        <v>2666</v>
      </c>
      <c r="U1250" t="s">
        <v>1136</v>
      </c>
      <c r="V1250" t="s">
        <v>2230</v>
      </c>
      <c r="W1250">
        <v>1762.5</v>
      </c>
      <c r="X1250" t="b">
        <v>0</v>
      </c>
    </row>
    <row r="1251" spans="1:24" x14ac:dyDescent="0.25">
      <c r="A1251">
        <v>1255</v>
      </c>
      <c r="B1251" t="s">
        <v>2667</v>
      </c>
      <c r="C1251">
        <v>7</v>
      </c>
      <c r="D1251">
        <v>40</v>
      </c>
      <c r="E1251">
        <v>99</v>
      </c>
      <c r="F1251">
        <v>2</v>
      </c>
      <c r="G1251">
        <v>2</v>
      </c>
      <c r="H1251">
        <v>5</v>
      </c>
      <c r="I1251">
        <v>6</v>
      </c>
      <c r="J1251">
        <v>968</v>
      </c>
      <c r="K1251">
        <v>2420</v>
      </c>
      <c r="L1251">
        <v>1</v>
      </c>
      <c r="M1251">
        <v>646</v>
      </c>
      <c r="N1251">
        <v>1469</v>
      </c>
      <c r="O1251">
        <v>1</v>
      </c>
      <c r="P1251">
        <v>407</v>
      </c>
      <c r="Q1251">
        <v>611</v>
      </c>
      <c r="R1251">
        <v>1</v>
      </c>
      <c r="S1251">
        <v>4000000</v>
      </c>
      <c r="T1251" t="s">
        <v>2668</v>
      </c>
      <c r="U1251" t="s">
        <v>1144</v>
      </c>
      <c r="V1251" t="s">
        <v>2232</v>
      </c>
      <c r="W1251">
        <v>1762.5</v>
      </c>
      <c r="X1251" t="b">
        <v>0</v>
      </c>
    </row>
    <row r="1252" spans="1:24" x14ac:dyDescent="0.25">
      <c r="A1252">
        <v>1257</v>
      </c>
      <c r="B1252" t="s">
        <v>2669</v>
      </c>
      <c r="C1252">
        <v>7</v>
      </c>
      <c r="D1252">
        <v>40</v>
      </c>
      <c r="E1252">
        <v>99</v>
      </c>
      <c r="F1252">
        <v>0</v>
      </c>
      <c r="G1252">
        <v>0</v>
      </c>
      <c r="H1252">
        <v>7</v>
      </c>
      <c r="I1252">
        <v>2</v>
      </c>
      <c r="J1252">
        <v>1096</v>
      </c>
      <c r="K1252">
        <v>3240</v>
      </c>
      <c r="L1252">
        <v>1</v>
      </c>
      <c r="M1252">
        <v>904</v>
      </c>
      <c r="N1252">
        <v>1556</v>
      </c>
      <c r="O1252">
        <v>1</v>
      </c>
      <c r="P1252">
        <v>218</v>
      </c>
      <c r="Q1252">
        <v>327</v>
      </c>
      <c r="R1252">
        <v>1</v>
      </c>
      <c r="S1252">
        <v>4000000</v>
      </c>
      <c r="T1252" t="s">
        <v>2670</v>
      </c>
      <c r="U1252" t="s">
        <v>1157</v>
      </c>
      <c r="V1252" t="s">
        <v>2235</v>
      </c>
      <c r="W1252">
        <v>1762.5</v>
      </c>
      <c r="X1252" t="b">
        <v>0</v>
      </c>
    </row>
    <row r="1253" spans="1:24" x14ac:dyDescent="0.25">
      <c r="A1253">
        <v>1258</v>
      </c>
      <c r="B1253" t="s">
        <v>2671</v>
      </c>
      <c r="C1253">
        <v>7</v>
      </c>
      <c r="D1253">
        <v>40</v>
      </c>
      <c r="E1253">
        <v>99</v>
      </c>
      <c r="F1253">
        <v>1</v>
      </c>
      <c r="G1253">
        <v>3</v>
      </c>
      <c r="H1253">
        <v>7</v>
      </c>
      <c r="I1253">
        <v>2</v>
      </c>
      <c r="J1253">
        <v>1038</v>
      </c>
      <c r="K1253">
        <v>3295</v>
      </c>
      <c r="L1253">
        <v>1</v>
      </c>
      <c r="M1253">
        <v>842</v>
      </c>
      <c r="N1253">
        <v>1363</v>
      </c>
      <c r="O1253">
        <v>1</v>
      </c>
      <c r="P1253">
        <v>282</v>
      </c>
      <c r="Q1253">
        <v>423</v>
      </c>
      <c r="R1253">
        <v>1</v>
      </c>
      <c r="S1253">
        <v>4000000</v>
      </c>
      <c r="T1253" t="s">
        <v>2672</v>
      </c>
      <c r="U1253" t="s">
        <v>1162</v>
      </c>
      <c r="V1253" t="s">
        <v>2236</v>
      </c>
      <c r="W1253">
        <v>1762.5</v>
      </c>
      <c r="X1253" t="b">
        <v>0</v>
      </c>
    </row>
    <row r="1254" spans="1:24" x14ac:dyDescent="0.25">
      <c r="A1254">
        <v>1262</v>
      </c>
      <c r="B1254" t="s">
        <v>2673</v>
      </c>
      <c r="C1254">
        <v>7</v>
      </c>
      <c r="D1254">
        <v>35</v>
      </c>
      <c r="E1254">
        <v>99</v>
      </c>
      <c r="F1254">
        <v>0</v>
      </c>
      <c r="G1254">
        <v>2</v>
      </c>
      <c r="H1254">
        <v>5</v>
      </c>
      <c r="I1254">
        <v>1</v>
      </c>
      <c r="J1254">
        <v>1294</v>
      </c>
      <c r="K1254">
        <v>3335</v>
      </c>
      <c r="L1254">
        <v>1</v>
      </c>
      <c r="M1254">
        <v>918</v>
      </c>
      <c r="N1254">
        <v>1477</v>
      </c>
      <c r="O1254">
        <v>1</v>
      </c>
      <c r="P1254">
        <v>201</v>
      </c>
      <c r="Q1254">
        <v>352</v>
      </c>
      <c r="R1254">
        <v>1</v>
      </c>
      <c r="S1254">
        <v>4000000</v>
      </c>
      <c r="T1254" t="s">
        <v>2674</v>
      </c>
      <c r="U1254" t="s">
        <v>1333</v>
      </c>
      <c r="V1254" t="s">
        <v>2275</v>
      </c>
      <c r="W1254">
        <v>1575</v>
      </c>
      <c r="X1254" t="b">
        <v>0</v>
      </c>
    </row>
    <row r="1255" spans="1:24" x14ac:dyDescent="0.25">
      <c r="A1255">
        <v>1263</v>
      </c>
      <c r="B1255" t="s">
        <v>2675</v>
      </c>
      <c r="C1255">
        <v>7</v>
      </c>
      <c r="D1255">
        <v>35</v>
      </c>
      <c r="E1255">
        <v>99</v>
      </c>
      <c r="F1255">
        <v>0</v>
      </c>
      <c r="G1255">
        <v>3</v>
      </c>
      <c r="H1255">
        <v>5</v>
      </c>
      <c r="I1255">
        <v>6</v>
      </c>
      <c r="J1255">
        <v>1294</v>
      </c>
      <c r="K1255">
        <v>2935</v>
      </c>
      <c r="L1255">
        <v>1</v>
      </c>
      <c r="M1255">
        <v>918</v>
      </c>
      <c r="N1255">
        <v>1807</v>
      </c>
      <c r="O1255">
        <v>1</v>
      </c>
      <c r="P1255">
        <v>201</v>
      </c>
      <c r="Q1255">
        <v>272</v>
      </c>
      <c r="R1255">
        <v>1</v>
      </c>
      <c r="S1255">
        <v>4000000</v>
      </c>
      <c r="T1255" t="s">
        <v>1332</v>
      </c>
      <c r="U1255" t="s">
        <v>1333</v>
      </c>
      <c r="V1255" t="s">
        <v>2522</v>
      </c>
      <c r="W1255">
        <v>1575</v>
      </c>
      <c r="X1255" t="b">
        <v>0</v>
      </c>
    </row>
    <row r="1256" spans="1:24" x14ac:dyDescent="0.25">
      <c r="A1256">
        <v>1264</v>
      </c>
      <c r="B1256" t="s">
        <v>2676</v>
      </c>
      <c r="C1256">
        <v>7</v>
      </c>
      <c r="D1256">
        <v>35</v>
      </c>
      <c r="E1256">
        <v>99</v>
      </c>
      <c r="F1256">
        <v>1</v>
      </c>
      <c r="G1256">
        <v>2</v>
      </c>
      <c r="H1256">
        <v>5</v>
      </c>
      <c r="I1256">
        <v>4</v>
      </c>
      <c r="J1256">
        <v>1298</v>
      </c>
      <c r="K1256">
        <v>3345</v>
      </c>
      <c r="L1256">
        <v>1</v>
      </c>
      <c r="M1256">
        <v>934</v>
      </c>
      <c r="N1256">
        <v>1581</v>
      </c>
      <c r="O1256">
        <v>1</v>
      </c>
      <c r="P1256">
        <v>189</v>
      </c>
      <c r="Q1256">
        <v>284</v>
      </c>
      <c r="R1256">
        <v>1</v>
      </c>
      <c r="S1256">
        <v>4000000</v>
      </c>
      <c r="T1256" t="s">
        <v>2677</v>
      </c>
      <c r="U1256" t="s">
        <v>1337</v>
      </c>
      <c r="V1256" t="s">
        <v>2276</v>
      </c>
      <c r="W1256">
        <v>1575</v>
      </c>
      <c r="X1256" t="b">
        <v>0</v>
      </c>
    </row>
    <row r="1257" spans="1:24" x14ac:dyDescent="0.25">
      <c r="A1257">
        <v>1265</v>
      </c>
      <c r="B1257" t="s">
        <v>2678</v>
      </c>
      <c r="C1257">
        <v>7</v>
      </c>
      <c r="D1257">
        <v>35</v>
      </c>
      <c r="E1257">
        <v>99</v>
      </c>
      <c r="F1257">
        <v>1</v>
      </c>
      <c r="G1257">
        <v>4</v>
      </c>
      <c r="H1257">
        <v>5</v>
      </c>
      <c r="I1257">
        <v>2</v>
      </c>
      <c r="J1257">
        <v>1298</v>
      </c>
      <c r="K1257">
        <v>4005</v>
      </c>
      <c r="L1257">
        <v>1</v>
      </c>
      <c r="M1257">
        <v>934</v>
      </c>
      <c r="N1257">
        <v>1401</v>
      </c>
      <c r="O1257">
        <v>1</v>
      </c>
      <c r="P1257">
        <v>189</v>
      </c>
      <c r="Q1257">
        <v>194</v>
      </c>
      <c r="R1257">
        <v>1</v>
      </c>
      <c r="S1257">
        <v>4000000</v>
      </c>
      <c r="T1257" t="s">
        <v>1336</v>
      </c>
      <c r="U1257" t="s">
        <v>1337</v>
      </c>
      <c r="V1257" t="s">
        <v>2542</v>
      </c>
      <c r="W1257">
        <v>1575</v>
      </c>
      <c r="X1257" t="b">
        <v>0</v>
      </c>
    </row>
    <row r="1258" spans="1:24" x14ac:dyDescent="0.25">
      <c r="A1258">
        <v>1266</v>
      </c>
      <c r="B1258" t="s">
        <v>2726</v>
      </c>
      <c r="C1258">
        <v>7</v>
      </c>
      <c r="D1258">
        <v>35</v>
      </c>
      <c r="E1258">
        <v>99</v>
      </c>
      <c r="F1258">
        <v>2</v>
      </c>
      <c r="G1258">
        <v>4</v>
      </c>
      <c r="H1258">
        <v>5</v>
      </c>
      <c r="I1258">
        <v>7</v>
      </c>
      <c r="J1258">
        <v>1350</v>
      </c>
      <c r="K1258">
        <v>3525</v>
      </c>
      <c r="L1258">
        <v>1</v>
      </c>
      <c r="M1258">
        <v>909</v>
      </c>
      <c r="N1258">
        <v>1524</v>
      </c>
      <c r="O1258">
        <v>1</v>
      </c>
      <c r="P1258">
        <v>177</v>
      </c>
      <c r="Q1258">
        <v>266</v>
      </c>
      <c r="R1258">
        <v>1</v>
      </c>
      <c r="S1258">
        <v>4000000</v>
      </c>
      <c r="T1258" t="s">
        <v>2727</v>
      </c>
      <c r="U1258" t="s">
        <v>1341</v>
      </c>
      <c r="V1258" t="s">
        <v>2277</v>
      </c>
      <c r="W1258">
        <v>1575</v>
      </c>
      <c r="X1258" t="b">
        <v>1</v>
      </c>
    </row>
    <row r="1259" spans="1:24" x14ac:dyDescent="0.25">
      <c r="A1259">
        <v>1267</v>
      </c>
      <c r="B1259" t="s">
        <v>2728</v>
      </c>
      <c r="C1259">
        <v>7</v>
      </c>
      <c r="D1259">
        <v>35</v>
      </c>
      <c r="E1259">
        <v>99</v>
      </c>
      <c r="F1259">
        <v>2</v>
      </c>
      <c r="G1259">
        <v>3</v>
      </c>
      <c r="H1259">
        <v>5</v>
      </c>
      <c r="I1259">
        <v>1</v>
      </c>
      <c r="J1259">
        <v>1350</v>
      </c>
      <c r="K1259">
        <v>3475</v>
      </c>
      <c r="L1259">
        <v>1</v>
      </c>
      <c r="M1259">
        <v>909</v>
      </c>
      <c r="N1259">
        <v>1414</v>
      </c>
      <c r="O1259">
        <v>1</v>
      </c>
      <c r="P1259">
        <v>177</v>
      </c>
      <c r="Q1259">
        <v>346</v>
      </c>
      <c r="R1259">
        <v>1</v>
      </c>
      <c r="S1259">
        <v>4000000</v>
      </c>
      <c r="T1259" t="s">
        <v>1340</v>
      </c>
      <c r="U1259" t="s">
        <v>1341</v>
      </c>
      <c r="V1259" t="s">
        <v>2729</v>
      </c>
      <c r="W1259">
        <v>1575</v>
      </c>
      <c r="X1259" t="b">
        <v>1</v>
      </c>
    </row>
    <row r="1260" spans="1:24" x14ac:dyDescent="0.25">
      <c r="A1260">
        <v>1268</v>
      </c>
      <c r="B1260" t="s">
        <v>2730</v>
      </c>
      <c r="C1260">
        <v>7</v>
      </c>
      <c r="D1260">
        <v>35</v>
      </c>
      <c r="E1260">
        <v>99</v>
      </c>
      <c r="F1260">
        <v>4</v>
      </c>
      <c r="G1260">
        <v>0</v>
      </c>
      <c r="H1260">
        <v>5</v>
      </c>
      <c r="I1260">
        <v>4</v>
      </c>
      <c r="J1260">
        <v>1277</v>
      </c>
      <c r="K1260">
        <v>3353</v>
      </c>
      <c r="L1260">
        <v>1</v>
      </c>
      <c r="M1260">
        <v>927</v>
      </c>
      <c r="N1260">
        <v>1491</v>
      </c>
      <c r="O1260">
        <v>1</v>
      </c>
      <c r="P1260">
        <v>206</v>
      </c>
      <c r="Q1260">
        <v>309</v>
      </c>
      <c r="R1260">
        <v>1</v>
      </c>
      <c r="S1260">
        <v>4000000</v>
      </c>
      <c r="T1260" t="s">
        <v>2731</v>
      </c>
      <c r="U1260" t="s">
        <v>1349</v>
      </c>
      <c r="V1260" t="s">
        <v>2279</v>
      </c>
      <c r="W1260">
        <v>1575</v>
      </c>
      <c r="X1260" t="b">
        <v>1</v>
      </c>
    </row>
    <row r="1261" spans="1:24" x14ac:dyDescent="0.25">
      <c r="A1261">
        <v>1269</v>
      </c>
      <c r="B1261" t="s">
        <v>2732</v>
      </c>
      <c r="C1261">
        <v>7</v>
      </c>
      <c r="D1261">
        <v>35</v>
      </c>
      <c r="E1261">
        <v>99</v>
      </c>
      <c r="F1261">
        <v>4</v>
      </c>
      <c r="G1261">
        <v>4</v>
      </c>
      <c r="H1261">
        <v>5</v>
      </c>
      <c r="I1261">
        <v>7</v>
      </c>
      <c r="J1261">
        <v>1277</v>
      </c>
      <c r="K1261">
        <v>3293</v>
      </c>
      <c r="L1261">
        <v>1</v>
      </c>
      <c r="M1261">
        <v>927</v>
      </c>
      <c r="N1261">
        <v>1741</v>
      </c>
      <c r="O1261">
        <v>1</v>
      </c>
      <c r="P1261">
        <v>206</v>
      </c>
      <c r="Q1261">
        <v>179</v>
      </c>
      <c r="R1261">
        <v>1</v>
      </c>
      <c r="S1261">
        <v>4000000</v>
      </c>
      <c r="T1261" t="s">
        <v>1348</v>
      </c>
      <c r="U1261" t="s">
        <v>1349</v>
      </c>
      <c r="V1261" t="s">
        <v>2733</v>
      </c>
      <c r="W1261">
        <v>1575</v>
      </c>
      <c r="X1261" t="b">
        <v>1</v>
      </c>
    </row>
    <row r="1262" spans="1:24" x14ac:dyDescent="0.25">
      <c r="A1262">
        <v>1270</v>
      </c>
      <c r="B1262" t="s">
        <v>2679</v>
      </c>
      <c r="C1262">
        <v>6</v>
      </c>
      <c r="D1262">
        <v>30</v>
      </c>
      <c r="E1262">
        <v>99</v>
      </c>
      <c r="F1262">
        <v>0</v>
      </c>
      <c r="G1262" t="s">
        <v>112</v>
      </c>
      <c r="H1262">
        <v>3</v>
      </c>
      <c r="I1262" t="s">
        <v>112</v>
      </c>
      <c r="J1262">
        <v>1593</v>
      </c>
      <c r="K1262">
        <v>2308</v>
      </c>
      <c r="L1262">
        <v>1</v>
      </c>
      <c r="M1262">
        <v>996</v>
      </c>
      <c r="N1262">
        <v>1189</v>
      </c>
      <c r="O1262">
        <v>1</v>
      </c>
      <c r="P1262">
        <v>438</v>
      </c>
      <c r="Q1262">
        <v>556</v>
      </c>
      <c r="R1262">
        <v>1</v>
      </c>
      <c r="S1262">
        <v>4000000</v>
      </c>
      <c r="T1262" t="s">
        <v>470</v>
      </c>
      <c r="U1262" t="s">
        <v>186</v>
      </c>
      <c r="V1262" t="s">
        <v>962</v>
      </c>
      <c r="W1262">
        <v>1350</v>
      </c>
      <c r="X1262" t="b">
        <v>0</v>
      </c>
    </row>
    <row r="1263" spans="1:24" x14ac:dyDescent="0.25">
      <c r="A1263">
        <v>1271</v>
      </c>
      <c r="B1263" t="s">
        <v>2680</v>
      </c>
      <c r="C1263">
        <v>7</v>
      </c>
      <c r="D1263">
        <v>35</v>
      </c>
      <c r="E1263">
        <v>99</v>
      </c>
      <c r="F1263">
        <v>0</v>
      </c>
      <c r="G1263">
        <v>3</v>
      </c>
      <c r="H1263">
        <v>3</v>
      </c>
      <c r="I1263" t="s">
        <v>112</v>
      </c>
      <c r="J1263">
        <v>1593</v>
      </c>
      <c r="K1263">
        <v>2308</v>
      </c>
      <c r="L1263">
        <v>1</v>
      </c>
      <c r="M1263">
        <v>996</v>
      </c>
      <c r="N1263">
        <v>1189</v>
      </c>
      <c r="O1263">
        <v>1</v>
      </c>
      <c r="P1263">
        <v>438</v>
      </c>
      <c r="Q1263">
        <v>656</v>
      </c>
      <c r="R1263">
        <v>1</v>
      </c>
      <c r="S1263">
        <v>4000000</v>
      </c>
      <c r="T1263" t="s">
        <v>1268</v>
      </c>
      <c r="U1263" t="s">
        <v>186</v>
      </c>
      <c r="V1263" t="s">
        <v>962</v>
      </c>
      <c r="W1263">
        <v>1575</v>
      </c>
      <c r="X1263" t="b">
        <v>0</v>
      </c>
    </row>
    <row r="1264" spans="1:24" x14ac:dyDescent="0.25">
      <c r="A1264">
        <v>1272</v>
      </c>
      <c r="B1264" t="s">
        <v>2681</v>
      </c>
      <c r="C1264">
        <v>6</v>
      </c>
      <c r="D1264">
        <v>27</v>
      </c>
      <c r="E1264">
        <v>99</v>
      </c>
      <c r="F1264">
        <v>0</v>
      </c>
      <c r="G1264">
        <v>3</v>
      </c>
      <c r="H1264">
        <v>2</v>
      </c>
      <c r="I1264" t="s">
        <v>112</v>
      </c>
      <c r="J1264">
        <v>2114</v>
      </c>
      <c r="K1264">
        <v>5074</v>
      </c>
      <c r="L1264">
        <v>1</v>
      </c>
      <c r="M1264">
        <v>704</v>
      </c>
      <c r="N1264">
        <v>1015</v>
      </c>
      <c r="O1264">
        <v>1</v>
      </c>
      <c r="P1264">
        <v>3</v>
      </c>
      <c r="Q1264">
        <v>106</v>
      </c>
      <c r="R1264">
        <v>1</v>
      </c>
      <c r="S1264">
        <v>3000000</v>
      </c>
      <c r="T1264" t="s">
        <v>2682</v>
      </c>
      <c r="U1264" t="s">
        <v>238</v>
      </c>
      <c r="V1264" t="s">
        <v>2523</v>
      </c>
      <c r="W1264">
        <v>1237.5</v>
      </c>
      <c r="X1264" t="b">
        <v>0</v>
      </c>
    </row>
    <row r="1265" spans="1:24" x14ac:dyDescent="0.25">
      <c r="A1265">
        <v>1273</v>
      </c>
      <c r="B1265" t="s">
        <v>2683</v>
      </c>
      <c r="C1265">
        <v>6</v>
      </c>
      <c r="D1265">
        <v>27</v>
      </c>
      <c r="E1265">
        <v>99</v>
      </c>
      <c r="F1265">
        <v>1</v>
      </c>
      <c r="G1265">
        <v>3</v>
      </c>
      <c r="H1265">
        <v>2</v>
      </c>
      <c r="I1265" t="s">
        <v>112</v>
      </c>
      <c r="J1265">
        <v>2128</v>
      </c>
      <c r="K1265">
        <v>5107</v>
      </c>
      <c r="L1265">
        <v>1</v>
      </c>
      <c r="M1265">
        <v>689</v>
      </c>
      <c r="N1265">
        <v>996</v>
      </c>
      <c r="O1265">
        <v>1</v>
      </c>
      <c r="P1265">
        <v>4</v>
      </c>
      <c r="Q1265">
        <v>108</v>
      </c>
      <c r="R1265">
        <v>1</v>
      </c>
      <c r="S1265">
        <v>3000000</v>
      </c>
      <c r="T1265" t="s">
        <v>2684</v>
      </c>
      <c r="U1265" t="s">
        <v>238</v>
      </c>
      <c r="V1265" t="s">
        <v>2523</v>
      </c>
      <c r="W1265">
        <v>1237.5</v>
      </c>
      <c r="X1265" t="b">
        <v>0</v>
      </c>
    </row>
    <row r="1266" spans="1:24" x14ac:dyDescent="0.25">
      <c r="A1266">
        <v>1274</v>
      </c>
      <c r="B1266" t="s">
        <v>2685</v>
      </c>
      <c r="C1266">
        <v>6</v>
      </c>
      <c r="D1266">
        <v>27</v>
      </c>
      <c r="E1266">
        <v>99</v>
      </c>
      <c r="F1266">
        <v>2</v>
      </c>
      <c r="G1266">
        <v>3</v>
      </c>
      <c r="H1266">
        <v>2</v>
      </c>
      <c r="I1266" t="s">
        <v>112</v>
      </c>
      <c r="J1266">
        <v>2120</v>
      </c>
      <c r="K1266">
        <v>5088</v>
      </c>
      <c r="L1266">
        <v>1</v>
      </c>
      <c r="M1266">
        <v>698</v>
      </c>
      <c r="N1266">
        <v>1007</v>
      </c>
      <c r="O1266">
        <v>1</v>
      </c>
      <c r="P1266">
        <v>4</v>
      </c>
      <c r="Q1266">
        <v>108</v>
      </c>
      <c r="R1266">
        <v>1</v>
      </c>
      <c r="S1266">
        <v>3000000</v>
      </c>
      <c r="T1266" t="s">
        <v>2686</v>
      </c>
      <c r="U1266" t="s">
        <v>238</v>
      </c>
      <c r="V1266" t="s">
        <v>2523</v>
      </c>
      <c r="W1266">
        <v>1237.5</v>
      </c>
      <c r="X1266" t="b">
        <v>0</v>
      </c>
    </row>
    <row r="1267" spans="1:24" x14ac:dyDescent="0.25">
      <c r="A1267">
        <v>1275</v>
      </c>
      <c r="B1267" t="s">
        <v>2543</v>
      </c>
      <c r="C1267">
        <v>4</v>
      </c>
      <c r="D1267">
        <v>12</v>
      </c>
      <c r="E1267">
        <v>70</v>
      </c>
      <c r="F1267">
        <v>0</v>
      </c>
      <c r="G1267">
        <v>2</v>
      </c>
      <c r="H1267">
        <v>2</v>
      </c>
      <c r="I1267" t="s">
        <v>112</v>
      </c>
      <c r="J1267">
        <v>652</v>
      </c>
      <c r="K1267">
        <v>3521</v>
      </c>
      <c r="L1267">
        <v>1</v>
      </c>
      <c r="M1267">
        <v>366</v>
      </c>
      <c r="N1267">
        <v>1088</v>
      </c>
      <c r="O1267">
        <v>1</v>
      </c>
      <c r="P1267">
        <v>18</v>
      </c>
      <c r="Q1267">
        <v>31</v>
      </c>
      <c r="R1267">
        <v>1</v>
      </c>
      <c r="S1267">
        <v>3000000</v>
      </c>
      <c r="T1267" t="s">
        <v>2545</v>
      </c>
      <c r="U1267" t="s">
        <v>2546</v>
      </c>
      <c r="V1267" t="s">
        <v>2544</v>
      </c>
      <c r="W1267">
        <v>600</v>
      </c>
      <c r="X1267" t="b">
        <v>1</v>
      </c>
    </row>
    <row r="1268" spans="1:24" x14ac:dyDescent="0.25">
      <c r="A1268">
        <v>1276</v>
      </c>
      <c r="B1268" t="s">
        <v>2547</v>
      </c>
      <c r="C1268">
        <v>5</v>
      </c>
      <c r="D1268">
        <v>20</v>
      </c>
      <c r="E1268">
        <v>50</v>
      </c>
      <c r="F1268">
        <v>4</v>
      </c>
      <c r="G1268" t="s">
        <v>112</v>
      </c>
      <c r="H1268">
        <v>4</v>
      </c>
      <c r="I1268" t="s">
        <v>112</v>
      </c>
      <c r="J1268">
        <v>669</v>
      </c>
      <c r="K1268">
        <v>1606</v>
      </c>
      <c r="L1268">
        <v>1</v>
      </c>
      <c r="M1268">
        <v>451</v>
      </c>
      <c r="N1268">
        <v>767</v>
      </c>
      <c r="O1268">
        <v>1</v>
      </c>
      <c r="P1268">
        <v>55</v>
      </c>
      <c r="Q1268">
        <v>94</v>
      </c>
      <c r="R1268">
        <v>1</v>
      </c>
      <c r="S1268">
        <v>4000000</v>
      </c>
      <c r="T1268" t="s">
        <v>2548</v>
      </c>
      <c r="U1268" t="s">
        <v>2549</v>
      </c>
      <c r="W1268">
        <v>937.5</v>
      </c>
      <c r="X1268" t="b">
        <v>1</v>
      </c>
    </row>
    <row r="1269" spans="1:24" x14ac:dyDescent="0.25">
      <c r="A1269">
        <v>1277</v>
      </c>
      <c r="B1269" t="s">
        <v>2550</v>
      </c>
      <c r="C1269">
        <v>6</v>
      </c>
      <c r="D1269">
        <v>40</v>
      </c>
      <c r="E1269">
        <v>99</v>
      </c>
      <c r="F1269">
        <v>4</v>
      </c>
      <c r="G1269">
        <v>3</v>
      </c>
      <c r="H1269">
        <v>4</v>
      </c>
      <c r="I1269" t="s">
        <v>112</v>
      </c>
      <c r="J1269">
        <v>1285</v>
      </c>
      <c r="K1269">
        <v>3213</v>
      </c>
      <c r="L1269">
        <v>1</v>
      </c>
      <c r="M1269">
        <v>690</v>
      </c>
      <c r="N1269">
        <v>1242</v>
      </c>
      <c r="O1269">
        <v>1</v>
      </c>
      <c r="P1269">
        <v>85</v>
      </c>
      <c r="Q1269">
        <v>153</v>
      </c>
      <c r="R1269">
        <v>1</v>
      </c>
      <c r="S1269">
        <v>4000000</v>
      </c>
      <c r="T1269" t="s">
        <v>2551</v>
      </c>
      <c r="U1269" t="s">
        <v>2549</v>
      </c>
      <c r="V1269" t="s">
        <v>358</v>
      </c>
      <c r="W1269">
        <v>1725</v>
      </c>
      <c r="X1269" t="b">
        <v>1</v>
      </c>
    </row>
    <row r="1270" spans="1:24" x14ac:dyDescent="0.25">
      <c r="A1270">
        <v>1278</v>
      </c>
      <c r="B1270" t="s">
        <v>2552</v>
      </c>
      <c r="C1270">
        <v>5</v>
      </c>
      <c r="D1270">
        <v>12</v>
      </c>
      <c r="E1270">
        <v>50</v>
      </c>
      <c r="F1270">
        <v>1</v>
      </c>
      <c r="G1270" t="s">
        <v>112</v>
      </c>
      <c r="H1270">
        <v>1</v>
      </c>
      <c r="I1270" t="s">
        <v>112</v>
      </c>
      <c r="J1270">
        <v>629</v>
      </c>
      <c r="K1270">
        <v>1510</v>
      </c>
      <c r="L1270">
        <v>1</v>
      </c>
      <c r="M1270">
        <v>479</v>
      </c>
      <c r="N1270">
        <v>814</v>
      </c>
      <c r="O1270">
        <v>1</v>
      </c>
      <c r="P1270">
        <v>124</v>
      </c>
      <c r="Q1270">
        <v>211</v>
      </c>
      <c r="R1270">
        <v>1</v>
      </c>
      <c r="S1270">
        <v>4000000</v>
      </c>
      <c r="T1270" t="s">
        <v>2553</v>
      </c>
      <c r="U1270" t="s">
        <v>2554</v>
      </c>
      <c r="W1270">
        <v>637.5</v>
      </c>
      <c r="X1270" t="b">
        <v>1</v>
      </c>
    </row>
    <row r="1271" spans="1:24" x14ac:dyDescent="0.25">
      <c r="A1271">
        <v>1279</v>
      </c>
      <c r="B1271" t="s">
        <v>2555</v>
      </c>
      <c r="C1271">
        <v>6</v>
      </c>
      <c r="D1271">
        <v>25</v>
      </c>
      <c r="E1271">
        <v>99</v>
      </c>
      <c r="F1271">
        <v>1</v>
      </c>
      <c r="G1271">
        <v>1</v>
      </c>
      <c r="H1271">
        <v>1</v>
      </c>
      <c r="I1271" t="s">
        <v>112</v>
      </c>
      <c r="J1271">
        <v>1208</v>
      </c>
      <c r="K1271">
        <v>3020</v>
      </c>
      <c r="L1271">
        <v>1</v>
      </c>
      <c r="M1271">
        <v>733</v>
      </c>
      <c r="N1271">
        <v>1319</v>
      </c>
      <c r="O1271">
        <v>1</v>
      </c>
      <c r="P1271">
        <v>190</v>
      </c>
      <c r="Q1271">
        <v>342</v>
      </c>
      <c r="R1271">
        <v>1</v>
      </c>
      <c r="S1271">
        <v>4000000</v>
      </c>
      <c r="T1271" t="s">
        <v>2557</v>
      </c>
      <c r="U1271" t="s">
        <v>2554</v>
      </c>
      <c r="V1271" t="s">
        <v>2556</v>
      </c>
      <c r="W1271">
        <v>1162.5</v>
      </c>
      <c r="X1271" t="b">
        <v>1</v>
      </c>
    </row>
    <row r="1272" spans="1:24" x14ac:dyDescent="0.25">
      <c r="A1272">
        <v>1280</v>
      </c>
      <c r="B1272" t="s">
        <v>2558</v>
      </c>
      <c r="C1272">
        <v>4</v>
      </c>
      <c r="D1272">
        <v>10</v>
      </c>
      <c r="E1272">
        <v>50</v>
      </c>
      <c r="F1272">
        <v>0</v>
      </c>
      <c r="G1272" t="s">
        <v>112</v>
      </c>
      <c r="H1272">
        <v>3</v>
      </c>
      <c r="I1272" t="s">
        <v>112</v>
      </c>
      <c r="J1272">
        <v>584</v>
      </c>
      <c r="K1272">
        <v>1402</v>
      </c>
      <c r="L1272">
        <v>1</v>
      </c>
      <c r="M1272">
        <v>366</v>
      </c>
      <c r="N1272">
        <v>622</v>
      </c>
      <c r="O1272">
        <v>1</v>
      </c>
      <c r="P1272">
        <v>182</v>
      </c>
      <c r="Q1272">
        <v>309</v>
      </c>
      <c r="R1272">
        <v>1</v>
      </c>
      <c r="S1272">
        <v>3000000</v>
      </c>
      <c r="T1272" t="s">
        <v>2559</v>
      </c>
      <c r="U1272" t="s">
        <v>308</v>
      </c>
      <c r="W1272">
        <v>525</v>
      </c>
      <c r="X1272" t="b">
        <v>1</v>
      </c>
    </row>
    <row r="1273" spans="1:24" x14ac:dyDescent="0.25">
      <c r="A1273">
        <v>1281</v>
      </c>
      <c r="B1273" t="s">
        <v>2560</v>
      </c>
      <c r="C1273">
        <v>5</v>
      </c>
      <c r="D1273">
        <v>20</v>
      </c>
      <c r="E1273">
        <v>99</v>
      </c>
      <c r="F1273">
        <v>0</v>
      </c>
      <c r="G1273">
        <v>0</v>
      </c>
      <c r="H1273">
        <v>3</v>
      </c>
      <c r="I1273">
        <v>5</v>
      </c>
      <c r="J1273">
        <v>1122</v>
      </c>
      <c r="K1273">
        <v>2805</v>
      </c>
      <c r="L1273">
        <v>1</v>
      </c>
      <c r="M1273">
        <v>560</v>
      </c>
      <c r="N1273">
        <v>1008</v>
      </c>
      <c r="O1273">
        <v>1</v>
      </c>
      <c r="P1273">
        <v>278</v>
      </c>
      <c r="Q1273">
        <v>500</v>
      </c>
      <c r="R1273">
        <v>1</v>
      </c>
      <c r="S1273">
        <v>3000000</v>
      </c>
      <c r="T1273" t="s">
        <v>2562</v>
      </c>
      <c r="U1273" t="s">
        <v>308</v>
      </c>
      <c r="V1273" t="s">
        <v>2561</v>
      </c>
      <c r="W1273">
        <v>937.5</v>
      </c>
      <c r="X1273" t="b">
        <v>1</v>
      </c>
    </row>
    <row r="1274" spans="1:24" x14ac:dyDescent="0.25">
      <c r="A1274">
        <v>1282</v>
      </c>
      <c r="B1274" t="s">
        <v>2563</v>
      </c>
      <c r="C1274">
        <v>4</v>
      </c>
      <c r="D1274">
        <v>10</v>
      </c>
      <c r="E1274">
        <v>50</v>
      </c>
      <c r="F1274">
        <v>0</v>
      </c>
      <c r="G1274" t="s">
        <v>112</v>
      </c>
      <c r="H1274">
        <v>6</v>
      </c>
      <c r="I1274" t="s">
        <v>112</v>
      </c>
      <c r="J1274">
        <v>658</v>
      </c>
      <c r="K1274">
        <v>1579</v>
      </c>
      <c r="L1274">
        <v>1</v>
      </c>
      <c r="M1274">
        <v>553</v>
      </c>
      <c r="N1274">
        <v>940</v>
      </c>
      <c r="O1274">
        <v>1</v>
      </c>
      <c r="P1274">
        <v>20</v>
      </c>
      <c r="Q1274">
        <v>34</v>
      </c>
      <c r="R1274">
        <v>1</v>
      </c>
      <c r="S1274">
        <v>3000000</v>
      </c>
      <c r="T1274" t="s">
        <v>2564</v>
      </c>
      <c r="U1274" t="s">
        <v>186</v>
      </c>
      <c r="W1274">
        <v>525</v>
      </c>
      <c r="X1274" t="b">
        <v>1</v>
      </c>
    </row>
    <row r="1275" spans="1:24" x14ac:dyDescent="0.25">
      <c r="A1275">
        <v>1283</v>
      </c>
      <c r="B1275" t="s">
        <v>2565</v>
      </c>
      <c r="C1275">
        <v>5</v>
      </c>
      <c r="D1275">
        <v>20</v>
      </c>
      <c r="E1275">
        <v>99</v>
      </c>
      <c r="F1275">
        <v>0</v>
      </c>
      <c r="G1275">
        <v>0</v>
      </c>
      <c r="H1275">
        <v>6</v>
      </c>
      <c r="I1275" t="s">
        <v>112</v>
      </c>
      <c r="J1275">
        <v>1263</v>
      </c>
      <c r="K1275">
        <v>3158</v>
      </c>
      <c r="L1275">
        <v>1</v>
      </c>
      <c r="M1275">
        <v>846</v>
      </c>
      <c r="N1275">
        <v>1523</v>
      </c>
      <c r="O1275">
        <v>1</v>
      </c>
      <c r="P1275">
        <v>31</v>
      </c>
      <c r="Q1275">
        <v>56</v>
      </c>
      <c r="R1275">
        <v>1</v>
      </c>
      <c r="S1275">
        <v>3000000</v>
      </c>
      <c r="T1275" t="s">
        <v>2567</v>
      </c>
      <c r="U1275" t="s">
        <v>186</v>
      </c>
      <c r="V1275" t="s">
        <v>2566</v>
      </c>
      <c r="W1275">
        <v>937.5</v>
      </c>
      <c r="X1275" t="b">
        <v>1</v>
      </c>
    </row>
    <row r="1276" spans="1:24" x14ac:dyDescent="0.25">
      <c r="A1276">
        <v>1284</v>
      </c>
      <c r="B1276" t="s">
        <v>2568</v>
      </c>
      <c r="C1276">
        <v>4</v>
      </c>
      <c r="D1276">
        <v>10</v>
      </c>
      <c r="E1276">
        <v>50</v>
      </c>
      <c r="F1276">
        <v>1</v>
      </c>
      <c r="G1276" t="s">
        <v>112</v>
      </c>
      <c r="H1276">
        <v>1</v>
      </c>
      <c r="I1276" t="s">
        <v>112</v>
      </c>
      <c r="J1276">
        <v>559</v>
      </c>
      <c r="K1276">
        <v>1342</v>
      </c>
      <c r="L1276">
        <v>1</v>
      </c>
      <c r="M1276">
        <v>411</v>
      </c>
      <c r="N1276">
        <v>699</v>
      </c>
      <c r="O1276">
        <v>1</v>
      </c>
      <c r="P1276">
        <v>158</v>
      </c>
      <c r="Q1276">
        <v>269</v>
      </c>
      <c r="R1276">
        <v>1</v>
      </c>
      <c r="S1276">
        <v>3000000</v>
      </c>
      <c r="T1276" t="s">
        <v>2569</v>
      </c>
      <c r="U1276" t="s">
        <v>189</v>
      </c>
      <c r="W1276">
        <v>525</v>
      </c>
      <c r="X1276" t="b">
        <v>1</v>
      </c>
    </row>
    <row r="1277" spans="1:24" x14ac:dyDescent="0.25">
      <c r="A1277">
        <v>1285</v>
      </c>
      <c r="B1277" t="s">
        <v>2570</v>
      </c>
      <c r="C1277">
        <v>5</v>
      </c>
      <c r="D1277">
        <v>20</v>
      </c>
      <c r="E1277">
        <v>99</v>
      </c>
      <c r="F1277">
        <v>1</v>
      </c>
      <c r="G1277">
        <v>1</v>
      </c>
      <c r="H1277">
        <v>1</v>
      </c>
      <c r="I1277" t="s">
        <v>112</v>
      </c>
      <c r="J1277">
        <v>1074</v>
      </c>
      <c r="K1277">
        <v>2685</v>
      </c>
      <c r="L1277">
        <v>1</v>
      </c>
      <c r="M1277">
        <v>629</v>
      </c>
      <c r="N1277">
        <v>1132</v>
      </c>
      <c r="O1277">
        <v>1</v>
      </c>
      <c r="P1277">
        <v>242</v>
      </c>
      <c r="Q1277">
        <v>436</v>
      </c>
      <c r="R1277">
        <v>1</v>
      </c>
      <c r="S1277">
        <v>3000000</v>
      </c>
      <c r="T1277" t="s">
        <v>2572</v>
      </c>
      <c r="U1277" t="s">
        <v>189</v>
      </c>
      <c r="V1277" t="s">
        <v>2571</v>
      </c>
      <c r="W1277">
        <v>937.5</v>
      </c>
      <c r="X1277" t="b">
        <v>1</v>
      </c>
    </row>
    <row r="1278" spans="1:24" x14ac:dyDescent="0.25">
      <c r="A1278">
        <v>1286</v>
      </c>
      <c r="B1278" t="s">
        <v>2573</v>
      </c>
      <c r="C1278">
        <v>4</v>
      </c>
      <c r="D1278">
        <v>10</v>
      </c>
      <c r="E1278">
        <v>50</v>
      </c>
      <c r="F1278">
        <v>2</v>
      </c>
      <c r="G1278" t="s">
        <v>112</v>
      </c>
      <c r="H1278">
        <v>3</v>
      </c>
      <c r="I1278" t="s">
        <v>112</v>
      </c>
      <c r="J1278">
        <v>485</v>
      </c>
      <c r="K1278">
        <v>1164</v>
      </c>
      <c r="L1278">
        <v>1</v>
      </c>
      <c r="M1278">
        <v>421</v>
      </c>
      <c r="N1278">
        <v>716</v>
      </c>
      <c r="O1278">
        <v>1</v>
      </c>
      <c r="P1278">
        <v>201</v>
      </c>
      <c r="Q1278">
        <v>342</v>
      </c>
      <c r="R1278">
        <v>1</v>
      </c>
      <c r="S1278">
        <v>3000000</v>
      </c>
      <c r="T1278" t="s">
        <v>2574</v>
      </c>
      <c r="U1278" t="s">
        <v>1076</v>
      </c>
      <c r="W1278">
        <v>525</v>
      </c>
      <c r="X1278" t="b">
        <v>1</v>
      </c>
    </row>
    <row r="1279" spans="1:24" x14ac:dyDescent="0.25">
      <c r="A1279">
        <v>1287</v>
      </c>
      <c r="B1279" t="s">
        <v>2575</v>
      </c>
      <c r="C1279">
        <v>5</v>
      </c>
      <c r="D1279">
        <v>20</v>
      </c>
      <c r="E1279">
        <v>99</v>
      </c>
      <c r="F1279">
        <v>2</v>
      </c>
      <c r="G1279">
        <v>2</v>
      </c>
      <c r="H1279">
        <v>3</v>
      </c>
      <c r="I1279">
        <v>5</v>
      </c>
      <c r="J1279">
        <v>931</v>
      </c>
      <c r="K1279">
        <v>2328</v>
      </c>
      <c r="L1279">
        <v>1</v>
      </c>
      <c r="M1279">
        <v>644</v>
      </c>
      <c r="N1279">
        <v>1159</v>
      </c>
      <c r="O1279">
        <v>1</v>
      </c>
      <c r="P1279">
        <v>308</v>
      </c>
      <c r="Q1279">
        <v>524</v>
      </c>
      <c r="R1279">
        <v>1</v>
      </c>
      <c r="S1279">
        <v>3000000</v>
      </c>
      <c r="T1279" t="s">
        <v>2577</v>
      </c>
      <c r="U1279" t="s">
        <v>1076</v>
      </c>
      <c r="V1279" t="s">
        <v>2576</v>
      </c>
      <c r="W1279">
        <v>937.5</v>
      </c>
      <c r="X1279" t="b">
        <v>1</v>
      </c>
    </row>
    <row r="1280" spans="1:24" x14ac:dyDescent="0.25">
      <c r="A1280">
        <v>1288</v>
      </c>
      <c r="B1280" t="s">
        <v>2578</v>
      </c>
      <c r="C1280">
        <v>4</v>
      </c>
      <c r="D1280">
        <v>10</v>
      </c>
      <c r="E1280">
        <v>50</v>
      </c>
      <c r="F1280">
        <v>3</v>
      </c>
      <c r="G1280" t="s">
        <v>112</v>
      </c>
      <c r="H1280">
        <v>2</v>
      </c>
      <c r="I1280" t="s">
        <v>112</v>
      </c>
      <c r="J1280">
        <v>749</v>
      </c>
      <c r="K1280">
        <v>1798</v>
      </c>
      <c r="L1280">
        <v>1</v>
      </c>
      <c r="M1280">
        <v>399</v>
      </c>
      <c r="N1280">
        <v>678</v>
      </c>
      <c r="O1280">
        <v>1</v>
      </c>
      <c r="P1280">
        <v>65</v>
      </c>
      <c r="Q1280">
        <v>111</v>
      </c>
      <c r="R1280">
        <v>1</v>
      </c>
      <c r="S1280">
        <v>3000000</v>
      </c>
      <c r="T1280" t="s">
        <v>2579</v>
      </c>
      <c r="U1280" t="s">
        <v>400</v>
      </c>
      <c r="W1280">
        <v>525</v>
      </c>
      <c r="X1280" t="b">
        <v>1</v>
      </c>
    </row>
    <row r="1281" spans="1:24" x14ac:dyDescent="0.25">
      <c r="A1281">
        <v>1289</v>
      </c>
      <c r="B1281" t="s">
        <v>2580</v>
      </c>
      <c r="C1281">
        <v>5</v>
      </c>
      <c r="D1281">
        <v>20</v>
      </c>
      <c r="E1281">
        <v>99</v>
      </c>
      <c r="F1281">
        <v>3</v>
      </c>
      <c r="G1281">
        <v>3</v>
      </c>
      <c r="H1281">
        <v>2</v>
      </c>
      <c r="I1281" t="s">
        <v>112</v>
      </c>
      <c r="J1281">
        <v>1438</v>
      </c>
      <c r="K1281">
        <v>3595</v>
      </c>
      <c r="L1281">
        <v>1</v>
      </c>
      <c r="M1281">
        <v>610</v>
      </c>
      <c r="N1281">
        <v>1098</v>
      </c>
      <c r="O1281">
        <v>1</v>
      </c>
      <c r="P1281">
        <v>100</v>
      </c>
      <c r="Q1281">
        <v>180</v>
      </c>
      <c r="R1281">
        <v>1</v>
      </c>
      <c r="S1281">
        <v>3000000</v>
      </c>
      <c r="T1281" t="s">
        <v>2582</v>
      </c>
      <c r="U1281" t="s">
        <v>400</v>
      </c>
      <c r="V1281" t="s">
        <v>2581</v>
      </c>
      <c r="W1281">
        <v>937.5</v>
      </c>
      <c r="X1281" t="b">
        <v>1</v>
      </c>
    </row>
    <row r="1282" spans="1:24" x14ac:dyDescent="0.25">
      <c r="A1282">
        <v>1290</v>
      </c>
      <c r="B1282" t="s">
        <v>2583</v>
      </c>
      <c r="C1282">
        <v>4</v>
      </c>
      <c r="D1282">
        <v>10</v>
      </c>
      <c r="E1282">
        <v>50</v>
      </c>
      <c r="F1282">
        <v>4</v>
      </c>
      <c r="G1282" t="s">
        <v>112</v>
      </c>
      <c r="H1282">
        <v>7</v>
      </c>
      <c r="I1282" t="s">
        <v>112</v>
      </c>
      <c r="J1282">
        <v>479</v>
      </c>
      <c r="K1282">
        <v>1150</v>
      </c>
      <c r="L1282">
        <v>1</v>
      </c>
      <c r="M1282">
        <v>436</v>
      </c>
      <c r="N1282">
        <v>741</v>
      </c>
      <c r="O1282">
        <v>1</v>
      </c>
      <c r="P1282">
        <v>185</v>
      </c>
      <c r="Q1282">
        <v>315</v>
      </c>
      <c r="R1282">
        <v>1</v>
      </c>
      <c r="S1282">
        <v>3000000</v>
      </c>
      <c r="T1282" t="s">
        <v>2584</v>
      </c>
      <c r="U1282" t="s">
        <v>453</v>
      </c>
      <c r="W1282">
        <v>525</v>
      </c>
      <c r="X1282" t="b">
        <v>1</v>
      </c>
    </row>
    <row r="1283" spans="1:24" x14ac:dyDescent="0.25">
      <c r="A1283">
        <v>1291</v>
      </c>
      <c r="B1283" t="s">
        <v>2585</v>
      </c>
      <c r="C1283">
        <v>5</v>
      </c>
      <c r="D1283">
        <v>20</v>
      </c>
      <c r="E1283">
        <v>99</v>
      </c>
      <c r="F1283">
        <v>4</v>
      </c>
      <c r="G1283">
        <v>4</v>
      </c>
      <c r="H1283">
        <v>7</v>
      </c>
      <c r="I1283">
        <v>4</v>
      </c>
      <c r="J1283">
        <v>920</v>
      </c>
      <c r="K1283">
        <v>2400</v>
      </c>
      <c r="L1283">
        <v>1</v>
      </c>
      <c r="M1283">
        <v>667</v>
      </c>
      <c r="N1283">
        <v>1181</v>
      </c>
      <c r="O1283">
        <v>1</v>
      </c>
      <c r="P1283">
        <v>284</v>
      </c>
      <c r="Q1283">
        <v>511</v>
      </c>
      <c r="R1283">
        <v>1</v>
      </c>
      <c r="S1283">
        <v>3000000</v>
      </c>
      <c r="T1283" t="s">
        <v>2586</v>
      </c>
      <c r="U1283" t="s">
        <v>453</v>
      </c>
      <c r="V1283" t="s">
        <v>999</v>
      </c>
      <c r="W1283">
        <v>937.5</v>
      </c>
      <c r="X1283" t="b">
        <v>1</v>
      </c>
    </row>
    <row r="1284" spans="1:24" x14ac:dyDescent="0.25">
      <c r="A1284">
        <v>1292</v>
      </c>
      <c r="B1284" t="s">
        <v>2587</v>
      </c>
      <c r="C1284">
        <v>5</v>
      </c>
      <c r="D1284">
        <v>12</v>
      </c>
      <c r="E1284">
        <v>50</v>
      </c>
      <c r="F1284">
        <v>3</v>
      </c>
      <c r="G1284" t="s">
        <v>112</v>
      </c>
      <c r="H1284">
        <v>4</v>
      </c>
      <c r="I1284" t="s">
        <v>112</v>
      </c>
      <c r="J1284">
        <v>591</v>
      </c>
      <c r="K1284">
        <v>1418</v>
      </c>
      <c r="L1284">
        <v>1</v>
      </c>
      <c r="M1284">
        <v>383</v>
      </c>
      <c r="N1284">
        <v>651</v>
      </c>
      <c r="O1284">
        <v>1</v>
      </c>
      <c r="P1284">
        <v>223</v>
      </c>
      <c r="Q1284">
        <v>379</v>
      </c>
      <c r="R1284">
        <v>1</v>
      </c>
      <c r="S1284">
        <v>4000000</v>
      </c>
      <c r="T1284" t="s">
        <v>2588</v>
      </c>
      <c r="U1284" t="s">
        <v>2589</v>
      </c>
      <c r="W1284">
        <v>637.5</v>
      </c>
      <c r="X1284" t="b">
        <v>1</v>
      </c>
    </row>
    <row r="1285" spans="1:24" x14ac:dyDescent="0.25">
      <c r="A1285">
        <v>1293</v>
      </c>
      <c r="B1285" t="s">
        <v>2590</v>
      </c>
      <c r="C1285">
        <v>6</v>
      </c>
      <c r="D1285">
        <v>25</v>
      </c>
      <c r="E1285">
        <v>99</v>
      </c>
      <c r="F1285">
        <v>3</v>
      </c>
      <c r="G1285">
        <v>3</v>
      </c>
      <c r="H1285">
        <v>4</v>
      </c>
      <c r="I1285">
        <v>3</v>
      </c>
      <c r="J1285">
        <v>1134</v>
      </c>
      <c r="K1285">
        <v>2835</v>
      </c>
      <c r="L1285">
        <v>1</v>
      </c>
      <c r="M1285">
        <v>586</v>
      </c>
      <c r="N1285">
        <v>1055</v>
      </c>
      <c r="O1285">
        <v>1</v>
      </c>
      <c r="P1285">
        <v>341</v>
      </c>
      <c r="Q1285">
        <v>614</v>
      </c>
      <c r="R1285">
        <v>1</v>
      </c>
      <c r="S1285">
        <v>4000000</v>
      </c>
      <c r="T1285" t="s">
        <v>2592</v>
      </c>
      <c r="U1285" t="s">
        <v>2589</v>
      </c>
      <c r="V1285" t="s">
        <v>2591</v>
      </c>
      <c r="W1285">
        <v>1162.5</v>
      </c>
      <c r="X1285" t="b">
        <v>1</v>
      </c>
    </row>
    <row r="1286" spans="1:24" x14ac:dyDescent="0.25">
      <c r="A1286">
        <v>1294</v>
      </c>
      <c r="B1286" t="s">
        <v>2687</v>
      </c>
      <c r="C1286">
        <v>6</v>
      </c>
      <c r="D1286">
        <v>99</v>
      </c>
      <c r="E1286">
        <v>1</v>
      </c>
      <c r="F1286">
        <v>1</v>
      </c>
      <c r="G1286" t="s">
        <v>112</v>
      </c>
      <c r="H1286">
        <v>0</v>
      </c>
      <c r="I1286" t="s">
        <v>112</v>
      </c>
      <c r="J1286">
        <v>400</v>
      </c>
      <c r="K1286">
        <v>400</v>
      </c>
      <c r="L1286">
        <v>1</v>
      </c>
      <c r="M1286">
        <v>400</v>
      </c>
      <c r="N1286">
        <v>400</v>
      </c>
      <c r="O1286">
        <v>1</v>
      </c>
      <c r="P1286">
        <v>-100</v>
      </c>
      <c r="Q1286">
        <v>-100</v>
      </c>
      <c r="R1286">
        <v>1</v>
      </c>
      <c r="S1286">
        <v>2000000</v>
      </c>
      <c r="T1286" t="s">
        <v>112</v>
      </c>
      <c r="U1286" t="s">
        <v>335</v>
      </c>
      <c r="W1286">
        <v>3937.5</v>
      </c>
      <c r="X1286" t="b">
        <v>0</v>
      </c>
    </row>
    <row r="1287" spans="1:24" x14ac:dyDescent="0.25">
      <c r="A1287">
        <v>1295</v>
      </c>
      <c r="B1287" t="s">
        <v>2688</v>
      </c>
      <c r="C1287">
        <v>6</v>
      </c>
      <c r="D1287">
        <v>99</v>
      </c>
      <c r="E1287">
        <v>1</v>
      </c>
      <c r="F1287">
        <v>2</v>
      </c>
      <c r="G1287" t="s">
        <v>112</v>
      </c>
      <c r="H1287">
        <v>0</v>
      </c>
      <c r="I1287" t="s">
        <v>112</v>
      </c>
      <c r="J1287">
        <v>400</v>
      </c>
      <c r="K1287">
        <v>400</v>
      </c>
      <c r="L1287">
        <v>1</v>
      </c>
      <c r="M1287">
        <v>400</v>
      </c>
      <c r="N1287">
        <v>400</v>
      </c>
      <c r="O1287">
        <v>1</v>
      </c>
      <c r="P1287">
        <v>-100</v>
      </c>
      <c r="Q1287">
        <v>-100</v>
      </c>
      <c r="R1287">
        <v>1</v>
      </c>
      <c r="S1287">
        <v>2000000</v>
      </c>
      <c r="T1287" t="s">
        <v>112</v>
      </c>
      <c r="U1287" t="s">
        <v>2689</v>
      </c>
      <c r="W1287">
        <v>3937.5</v>
      </c>
      <c r="X1287" t="b">
        <v>0</v>
      </c>
    </row>
    <row r="1288" spans="1:24" x14ac:dyDescent="0.25">
      <c r="A1288">
        <v>1296</v>
      </c>
      <c r="B1288" t="s">
        <v>2690</v>
      </c>
      <c r="C1288">
        <v>7</v>
      </c>
      <c r="D1288">
        <v>35</v>
      </c>
      <c r="E1288">
        <v>99</v>
      </c>
      <c r="F1288">
        <v>0</v>
      </c>
      <c r="G1288">
        <v>0</v>
      </c>
      <c r="H1288">
        <v>5</v>
      </c>
      <c r="I1288">
        <v>6</v>
      </c>
      <c r="J1288">
        <v>1058</v>
      </c>
      <c r="K1288">
        <v>2645</v>
      </c>
      <c r="L1288">
        <v>1</v>
      </c>
      <c r="M1288">
        <v>625</v>
      </c>
      <c r="N1288">
        <v>1575</v>
      </c>
      <c r="O1288">
        <v>1</v>
      </c>
      <c r="P1288">
        <v>334</v>
      </c>
      <c r="Q1288">
        <v>501</v>
      </c>
      <c r="R1288">
        <v>1</v>
      </c>
      <c r="S1288">
        <v>4000000</v>
      </c>
      <c r="T1288" t="s">
        <v>2691</v>
      </c>
      <c r="U1288" t="s">
        <v>1412</v>
      </c>
      <c r="V1288" t="s">
        <v>2282</v>
      </c>
      <c r="W1288">
        <v>1575</v>
      </c>
      <c r="X1288" t="b">
        <v>0</v>
      </c>
    </row>
    <row r="1289" spans="1:24" x14ac:dyDescent="0.25">
      <c r="A1289">
        <v>1299</v>
      </c>
      <c r="B1289" t="s">
        <v>2734</v>
      </c>
      <c r="C1289">
        <v>7</v>
      </c>
      <c r="D1289">
        <v>35</v>
      </c>
      <c r="E1289">
        <v>99</v>
      </c>
      <c r="F1289">
        <v>3</v>
      </c>
      <c r="G1289">
        <v>3</v>
      </c>
      <c r="H1289">
        <v>5</v>
      </c>
      <c r="I1289">
        <v>2</v>
      </c>
      <c r="J1289">
        <v>1338</v>
      </c>
      <c r="K1289">
        <v>3845</v>
      </c>
      <c r="L1289">
        <v>1</v>
      </c>
      <c r="M1289">
        <v>759</v>
      </c>
      <c r="N1289">
        <v>1366</v>
      </c>
      <c r="O1289">
        <v>1</v>
      </c>
      <c r="P1289">
        <v>153</v>
      </c>
      <c r="Q1289">
        <v>275</v>
      </c>
      <c r="R1289">
        <v>1</v>
      </c>
      <c r="S1289">
        <v>4000000</v>
      </c>
      <c r="T1289" t="s">
        <v>2735</v>
      </c>
      <c r="U1289" t="s">
        <v>1423</v>
      </c>
      <c r="V1289" t="s">
        <v>2285</v>
      </c>
      <c r="W1289">
        <v>1575</v>
      </c>
      <c r="X1289" t="b">
        <v>1</v>
      </c>
    </row>
    <row r="1290" spans="1:24" x14ac:dyDescent="0.25">
      <c r="A1290">
        <v>1301</v>
      </c>
      <c r="B1290" t="s">
        <v>2692</v>
      </c>
      <c r="C1290">
        <v>7</v>
      </c>
      <c r="D1290">
        <v>26</v>
      </c>
      <c r="E1290">
        <v>99</v>
      </c>
      <c r="F1290">
        <v>0</v>
      </c>
      <c r="G1290">
        <v>2</v>
      </c>
      <c r="H1290">
        <v>6</v>
      </c>
      <c r="I1290">
        <v>4</v>
      </c>
      <c r="J1290">
        <v>563</v>
      </c>
      <c r="K1290">
        <v>2002</v>
      </c>
      <c r="L1290">
        <v>1</v>
      </c>
      <c r="M1290">
        <v>520</v>
      </c>
      <c r="N1290">
        <v>1710</v>
      </c>
      <c r="O1290">
        <v>1</v>
      </c>
      <c r="P1290">
        <v>53</v>
      </c>
      <c r="Q1290">
        <v>80</v>
      </c>
      <c r="R1290">
        <v>1</v>
      </c>
      <c r="S1290">
        <v>3000000</v>
      </c>
      <c r="T1290" t="s">
        <v>730</v>
      </c>
      <c r="U1290" t="s">
        <v>727</v>
      </c>
      <c r="V1290" t="s">
        <v>2593</v>
      </c>
      <c r="W1290">
        <v>1237.5</v>
      </c>
      <c r="X1290" t="b">
        <v>0</v>
      </c>
    </row>
    <row r="1291" spans="1:24" x14ac:dyDescent="0.25">
      <c r="A1291">
        <v>1302</v>
      </c>
      <c r="B1291" t="s">
        <v>2693</v>
      </c>
      <c r="C1291">
        <v>7</v>
      </c>
      <c r="D1291">
        <v>26</v>
      </c>
      <c r="E1291">
        <v>99</v>
      </c>
      <c r="F1291">
        <v>1</v>
      </c>
      <c r="G1291">
        <v>0</v>
      </c>
      <c r="H1291">
        <v>6</v>
      </c>
      <c r="I1291">
        <v>7</v>
      </c>
      <c r="J1291">
        <v>579</v>
      </c>
      <c r="K1291">
        <v>2053</v>
      </c>
      <c r="L1291">
        <v>1</v>
      </c>
      <c r="M1291">
        <v>517</v>
      </c>
      <c r="N1291">
        <v>1701</v>
      </c>
      <c r="O1291">
        <v>1</v>
      </c>
      <c r="P1291">
        <v>68</v>
      </c>
      <c r="Q1291">
        <v>102</v>
      </c>
      <c r="R1291">
        <v>1</v>
      </c>
      <c r="S1291">
        <v>3000000</v>
      </c>
      <c r="T1291" t="s">
        <v>730</v>
      </c>
      <c r="U1291" t="s">
        <v>732</v>
      </c>
      <c r="V1291" t="s">
        <v>2594</v>
      </c>
      <c r="W1291">
        <v>1237.5</v>
      </c>
      <c r="X1291" t="b">
        <v>0</v>
      </c>
    </row>
    <row r="1292" spans="1:24" x14ac:dyDescent="0.25">
      <c r="A1292">
        <v>1303</v>
      </c>
      <c r="B1292" t="s">
        <v>2694</v>
      </c>
      <c r="C1292">
        <v>7</v>
      </c>
      <c r="D1292">
        <v>26</v>
      </c>
      <c r="E1292">
        <v>99</v>
      </c>
      <c r="F1292">
        <v>2</v>
      </c>
      <c r="G1292">
        <v>1</v>
      </c>
      <c r="H1292">
        <v>6</v>
      </c>
      <c r="I1292">
        <v>7</v>
      </c>
      <c r="J1292">
        <v>544</v>
      </c>
      <c r="K1292">
        <v>1941</v>
      </c>
      <c r="L1292">
        <v>1</v>
      </c>
      <c r="M1292">
        <v>514</v>
      </c>
      <c r="N1292">
        <v>1692</v>
      </c>
      <c r="O1292">
        <v>1</v>
      </c>
      <c r="P1292">
        <v>64</v>
      </c>
      <c r="Q1292">
        <v>96</v>
      </c>
      <c r="R1292">
        <v>1</v>
      </c>
      <c r="S1292">
        <v>3000000</v>
      </c>
      <c r="T1292" t="s">
        <v>730</v>
      </c>
      <c r="U1292" t="s">
        <v>736</v>
      </c>
      <c r="V1292" t="s">
        <v>2595</v>
      </c>
      <c r="W1292">
        <v>1237.5</v>
      </c>
      <c r="X1292" t="b">
        <v>0</v>
      </c>
    </row>
    <row r="1293" spans="1:24" x14ac:dyDescent="0.25">
      <c r="A1293">
        <v>1304</v>
      </c>
      <c r="B1293" t="s">
        <v>2695</v>
      </c>
      <c r="C1293">
        <v>7</v>
      </c>
      <c r="D1293">
        <v>26</v>
      </c>
      <c r="E1293">
        <v>99</v>
      </c>
      <c r="F1293">
        <v>3</v>
      </c>
      <c r="G1293">
        <v>4</v>
      </c>
      <c r="H1293">
        <v>6</v>
      </c>
      <c r="I1293">
        <v>4</v>
      </c>
      <c r="J1293">
        <v>573</v>
      </c>
      <c r="K1293">
        <v>2206</v>
      </c>
      <c r="L1293">
        <v>1</v>
      </c>
      <c r="M1293">
        <v>469</v>
      </c>
      <c r="N1293">
        <v>1557</v>
      </c>
      <c r="O1293">
        <v>1</v>
      </c>
      <c r="P1293">
        <v>48</v>
      </c>
      <c r="Q1293">
        <v>72</v>
      </c>
      <c r="R1293">
        <v>1</v>
      </c>
      <c r="S1293">
        <v>3000000</v>
      </c>
      <c r="T1293" t="s">
        <v>730</v>
      </c>
      <c r="U1293" t="s">
        <v>740</v>
      </c>
      <c r="V1293" t="s">
        <v>2596</v>
      </c>
      <c r="W1293">
        <v>1237.5</v>
      </c>
      <c r="X1293" t="b">
        <v>0</v>
      </c>
    </row>
    <row r="1294" spans="1:24" x14ac:dyDescent="0.25">
      <c r="A1294">
        <v>1305</v>
      </c>
      <c r="B1294" t="s">
        <v>2696</v>
      </c>
      <c r="C1294">
        <v>7</v>
      </c>
      <c r="D1294">
        <v>26</v>
      </c>
      <c r="E1294">
        <v>99</v>
      </c>
      <c r="F1294">
        <v>4</v>
      </c>
      <c r="G1294">
        <v>3</v>
      </c>
      <c r="H1294">
        <v>6</v>
      </c>
      <c r="I1294">
        <v>7</v>
      </c>
      <c r="J1294">
        <v>557</v>
      </c>
      <c r="K1294">
        <v>2150</v>
      </c>
      <c r="L1294">
        <v>1</v>
      </c>
      <c r="M1294">
        <v>472</v>
      </c>
      <c r="N1294">
        <v>1566</v>
      </c>
      <c r="O1294">
        <v>1</v>
      </c>
      <c r="P1294">
        <v>57</v>
      </c>
      <c r="Q1294">
        <v>86</v>
      </c>
      <c r="R1294">
        <v>1</v>
      </c>
      <c r="S1294">
        <v>3000000</v>
      </c>
      <c r="T1294" t="s">
        <v>730</v>
      </c>
      <c r="U1294" t="s">
        <v>744</v>
      </c>
      <c r="V1294" t="s">
        <v>2597</v>
      </c>
      <c r="W1294">
        <v>1237.5</v>
      </c>
      <c r="X1294" t="b">
        <v>0</v>
      </c>
    </row>
    <row r="1295" spans="1:24" x14ac:dyDescent="0.25">
      <c r="A1295">
        <v>1306</v>
      </c>
      <c r="B1295" t="s">
        <v>2736</v>
      </c>
      <c r="C1295">
        <v>6</v>
      </c>
      <c r="D1295">
        <v>20</v>
      </c>
      <c r="E1295">
        <v>50</v>
      </c>
      <c r="F1295">
        <v>1</v>
      </c>
      <c r="G1295" t="s">
        <v>112</v>
      </c>
      <c r="H1295">
        <v>5</v>
      </c>
      <c r="I1295">
        <v>1</v>
      </c>
      <c r="J1295">
        <v>774</v>
      </c>
      <c r="K1295">
        <v>1625</v>
      </c>
      <c r="L1295">
        <v>1</v>
      </c>
      <c r="M1295">
        <v>514</v>
      </c>
      <c r="N1295">
        <v>771</v>
      </c>
      <c r="O1295">
        <v>1</v>
      </c>
      <c r="P1295">
        <v>192</v>
      </c>
      <c r="Q1295">
        <v>288</v>
      </c>
      <c r="R1295">
        <v>1</v>
      </c>
      <c r="S1295">
        <v>4000000</v>
      </c>
      <c r="T1295" t="s">
        <v>2737</v>
      </c>
      <c r="U1295" t="s">
        <v>2738</v>
      </c>
      <c r="W1295">
        <v>975</v>
      </c>
      <c r="X1295" t="b">
        <v>1</v>
      </c>
    </row>
    <row r="1296" spans="1:24" x14ac:dyDescent="0.25">
      <c r="A1296">
        <v>1307</v>
      </c>
      <c r="B1296" t="s">
        <v>2739</v>
      </c>
      <c r="C1296">
        <v>7</v>
      </c>
      <c r="D1296">
        <v>40</v>
      </c>
      <c r="E1296">
        <v>99</v>
      </c>
      <c r="F1296">
        <v>1</v>
      </c>
      <c r="G1296">
        <v>4</v>
      </c>
      <c r="H1296">
        <v>5</v>
      </c>
      <c r="I1296">
        <v>1</v>
      </c>
      <c r="J1296">
        <v>1300</v>
      </c>
      <c r="K1296">
        <v>3250</v>
      </c>
      <c r="L1296">
        <v>1</v>
      </c>
      <c r="M1296">
        <v>694</v>
      </c>
      <c r="N1296">
        <v>1249</v>
      </c>
      <c r="O1296">
        <v>1</v>
      </c>
      <c r="P1296">
        <v>259</v>
      </c>
      <c r="Q1296">
        <v>466</v>
      </c>
      <c r="R1296">
        <v>1</v>
      </c>
      <c r="S1296">
        <v>4000000</v>
      </c>
      <c r="T1296" t="s">
        <v>2737</v>
      </c>
      <c r="U1296" t="s">
        <v>2738</v>
      </c>
      <c r="V1296" t="s">
        <v>2740</v>
      </c>
      <c r="W1296">
        <v>1762.5</v>
      </c>
      <c r="X1296" t="b">
        <v>1</v>
      </c>
    </row>
    <row r="1297" spans="1:24" x14ac:dyDescent="0.25">
      <c r="A1297">
        <v>1308</v>
      </c>
      <c r="B1297" t="s">
        <v>2697</v>
      </c>
      <c r="C1297">
        <v>3</v>
      </c>
      <c r="D1297">
        <v>5</v>
      </c>
      <c r="E1297">
        <v>25</v>
      </c>
      <c r="F1297">
        <v>0</v>
      </c>
      <c r="G1297" t="s">
        <v>112</v>
      </c>
      <c r="H1297">
        <v>3</v>
      </c>
      <c r="I1297" t="s">
        <v>112</v>
      </c>
      <c r="J1297">
        <v>122</v>
      </c>
      <c r="K1297">
        <v>549</v>
      </c>
      <c r="L1297">
        <v>1</v>
      </c>
      <c r="M1297">
        <v>93</v>
      </c>
      <c r="N1297">
        <v>419</v>
      </c>
      <c r="O1297">
        <v>1</v>
      </c>
      <c r="P1297">
        <v>99</v>
      </c>
      <c r="Q1297">
        <v>208</v>
      </c>
      <c r="R1297">
        <v>1</v>
      </c>
      <c r="S1297">
        <v>1500000</v>
      </c>
      <c r="T1297" t="s">
        <v>2698</v>
      </c>
      <c r="U1297" t="s">
        <v>112</v>
      </c>
      <c r="W1297">
        <v>300</v>
      </c>
      <c r="X1297" t="b">
        <v>1</v>
      </c>
    </row>
    <row r="1298" spans="1:24" x14ac:dyDescent="0.25">
      <c r="A1298">
        <v>1309</v>
      </c>
      <c r="B1298" t="s">
        <v>2699</v>
      </c>
      <c r="C1298">
        <v>4</v>
      </c>
      <c r="D1298">
        <v>10</v>
      </c>
      <c r="E1298">
        <v>70</v>
      </c>
      <c r="F1298">
        <v>0</v>
      </c>
      <c r="G1298" t="s">
        <v>112</v>
      </c>
      <c r="H1298">
        <v>3</v>
      </c>
      <c r="I1298" t="s">
        <v>112</v>
      </c>
      <c r="J1298">
        <v>439</v>
      </c>
      <c r="K1298">
        <v>1098</v>
      </c>
      <c r="L1298">
        <v>1</v>
      </c>
      <c r="M1298">
        <v>377</v>
      </c>
      <c r="N1298">
        <v>943</v>
      </c>
      <c r="O1298">
        <v>1</v>
      </c>
      <c r="P1298">
        <v>187</v>
      </c>
      <c r="Q1298">
        <v>393</v>
      </c>
      <c r="R1298">
        <v>1</v>
      </c>
      <c r="S1298">
        <v>3000000</v>
      </c>
      <c r="T1298" t="s">
        <v>2698</v>
      </c>
      <c r="U1298" t="s">
        <v>791</v>
      </c>
      <c r="V1298" t="s">
        <v>2700</v>
      </c>
      <c r="W1298">
        <v>525</v>
      </c>
      <c r="X1298" t="b">
        <v>1</v>
      </c>
    </row>
    <row r="1299" spans="1:24" x14ac:dyDescent="0.25">
      <c r="A1299">
        <v>1310</v>
      </c>
      <c r="B1299" t="s">
        <v>2701</v>
      </c>
      <c r="C1299">
        <v>3</v>
      </c>
      <c r="D1299">
        <v>5</v>
      </c>
      <c r="E1299">
        <v>25</v>
      </c>
      <c r="F1299">
        <v>1</v>
      </c>
      <c r="G1299" t="s">
        <v>112</v>
      </c>
      <c r="H1299">
        <v>1</v>
      </c>
      <c r="I1299" t="s">
        <v>112</v>
      </c>
      <c r="J1299">
        <v>167</v>
      </c>
      <c r="K1299">
        <v>752</v>
      </c>
      <c r="L1299">
        <v>1</v>
      </c>
      <c r="M1299">
        <v>106</v>
      </c>
      <c r="N1299">
        <v>477</v>
      </c>
      <c r="O1299">
        <v>1</v>
      </c>
      <c r="P1299">
        <v>48</v>
      </c>
      <c r="Q1299">
        <v>101</v>
      </c>
      <c r="R1299">
        <v>1</v>
      </c>
      <c r="S1299">
        <v>1500000</v>
      </c>
      <c r="T1299" t="s">
        <v>2702</v>
      </c>
      <c r="U1299" t="s">
        <v>112</v>
      </c>
      <c r="W1299">
        <v>300</v>
      </c>
      <c r="X1299" t="b">
        <v>1</v>
      </c>
    </row>
    <row r="1300" spans="1:24" x14ac:dyDescent="0.25">
      <c r="A1300">
        <v>1311</v>
      </c>
      <c r="B1300" t="s">
        <v>2703</v>
      </c>
      <c r="C1300">
        <v>4</v>
      </c>
      <c r="D1300">
        <v>10</v>
      </c>
      <c r="E1300">
        <v>70</v>
      </c>
      <c r="F1300">
        <v>1</v>
      </c>
      <c r="G1300" t="s">
        <v>112</v>
      </c>
      <c r="H1300">
        <v>1</v>
      </c>
      <c r="I1300" t="s">
        <v>112</v>
      </c>
      <c r="J1300">
        <v>602</v>
      </c>
      <c r="K1300">
        <v>1505</v>
      </c>
      <c r="L1300">
        <v>1</v>
      </c>
      <c r="M1300">
        <v>429</v>
      </c>
      <c r="N1300">
        <v>1073</v>
      </c>
      <c r="O1300">
        <v>1</v>
      </c>
      <c r="P1300">
        <v>91</v>
      </c>
      <c r="Q1300">
        <v>191</v>
      </c>
      <c r="R1300">
        <v>1</v>
      </c>
      <c r="S1300">
        <v>3000000</v>
      </c>
      <c r="T1300" t="s">
        <v>2702</v>
      </c>
      <c r="U1300" t="s">
        <v>2112</v>
      </c>
      <c r="V1300" t="s">
        <v>2704</v>
      </c>
      <c r="W1300">
        <v>525</v>
      </c>
      <c r="X1300" t="b">
        <v>1</v>
      </c>
    </row>
    <row r="1301" spans="1:24" x14ac:dyDescent="0.25">
      <c r="A1301">
        <v>1312</v>
      </c>
      <c r="B1301" t="s">
        <v>2705</v>
      </c>
      <c r="C1301">
        <v>3</v>
      </c>
      <c r="D1301">
        <v>5</v>
      </c>
      <c r="E1301">
        <v>25</v>
      </c>
      <c r="F1301">
        <v>2</v>
      </c>
      <c r="G1301" t="s">
        <v>112</v>
      </c>
      <c r="H1301">
        <v>6</v>
      </c>
      <c r="I1301" t="s">
        <v>112</v>
      </c>
      <c r="J1301">
        <v>109</v>
      </c>
      <c r="K1301">
        <v>491</v>
      </c>
      <c r="L1301">
        <v>1</v>
      </c>
      <c r="M1301">
        <v>128</v>
      </c>
      <c r="N1301">
        <v>576</v>
      </c>
      <c r="O1301">
        <v>1</v>
      </c>
      <c r="P1301">
        <v>55</v>
      </c>
      <c r="Q1301">
        <v>116</v>
      </c>
      <c r="R1301">
        <v>1</v>
      </c>
      <c r="S1301">
        <v>1500000</v>
      </c>
      <c r="T1301" t="s">
        <v>2706</v>
      </c>
      <c r="U1301" t="s">
        <v>112</v>
      </c>
      <c r="W1301">
        <v>300</v>
      </c>
      <c r="X1301" t="b">
        <v>1</v>
      </c>
    </row>
    <row r="1302" spans="1:24" x14ac:dyDescent="0.25">
      <c r="A1302">
        <v>1313</v>
      </c>
      <c r="B1302" t="s">
        <v>2707</v>
      </c>
      <c r="C1302">
        <v>4</v>
      </c>
      <c r="D1302">
        <v>10</v>
      </c>
      <c r="E1302">
        <v>70</v>
      </c>
      <c r="F1302">
        <v>2</v>
      </c>
      <c r="G1302" t="s">
        <v>112</v>
      </c>
      <c r="H1302">
        <v>6</v>
      </c>
      <c r="I1302" t="s">
        <v>112</v>
      </c>
      <c r="J1302">
        <v>393</v>
      </c>
      <c r="K1302">
        <v>983</v>
      </c>
      <c r="L1302">
        <v>1</v>
      </c>
      <c r="M1302">
        <v>518</v>
      </c>
      <c r="N1302">
        <v>1295</v>
      </c>
      <c r="O1302">
        <v>1</v>
      </c>
      <c r="P1302">
        <v>104</v>
      </c>
      <c r="Q1302">
        <v>218</v>
      </c>
      <c r="R1302">
        <v>1</v>
      </c>
      <c r="S1302">
        <v>3000000</v>
      </c>
      <c r="T1302" t="s">
        <v>2706</v>
      </c>
      <c r="U1302" t="s">
        <v>2116</v>
      </c>
      <c r="V1302" t="s">
        <v>2708</v>
      </c>
      <c r="W1302">
        <v>525</v>
      </c>
      <c r="X1302" t="b">
        <v>1</v>
      </c>
    </row>
    <row r="1303" spans="1:24" x14ac:dyDescent="0.25">
      <c r="A1303">
        <v>1314</v>
      </c>
      <c r="B1303" t="s">
        <v>2709</v>
      </c>
      <c r="C1303">
        <v>3</v>
      </c>
      <c r="D1303">
        <v>1</v>
      </c>
      <c r="E1303">
        <v>1</v>
      </c>
      <c r="F1303">
        <v>3</v>
      </c>
      <c r="G1303" t="s">
        <v>112</v>
      </c>
      <c r="H1303">
        <v>14</v>
      </c>
      <c r="I1303" t="s">
        <v>112</v>
      </c>
      <c r="J1303">
        <v>300</v>
      </c>
      <c r="K1303">
        <v>300</v>
      </c>
      <c r="L1303">
        <v>1</v>
      </c>
      <c r="M1303">
        <v>150</v>
      </c>
      <c r="N1303">
        <v>150</v>
      </c>
      <c r="O1303">
        <v>1</v>
      </c>
      <c r="P1303">
        <v>90</v>
      </c>
      <c r="Q1303">
        <v>90</v>
      </c>
      <c r="R1303">
        <v>1</v>
      </c>
      <c r="S1303">
        <v>1500000</v>
      </c>
      <c r="T1303" t="s">
        <v>112</v>
      </c>
      <c r="U1303" t="s">
        <v>450</v>
      </c>
      <c r="W1303">
        <v>10000</v>
      </c>
      <c r="X1303" t="b">
        <v>1</v>
      </c>
    </row>
    <row r="1304" spans="1:24" x14ac:dyDescent="0.25">
      <c r="A1304">
        <v>1315</v>
      </c>
      <c r="B1304" t="s">
        <v>2710</v>
      </c>
      <c r="C1304">
        <v>4</v>
      </c>
      <c r="D1304">
        <v>11</v>
      </c>
      <c r="E1304">
        <v>50</v>
      </c>
      <c r="F1304">
        <v>4</v>
      </c>
      <c r="G1304" t="s">
        <v>112</v>
      </c>
      <c r="H1304">
        <v>7</v>
      </c>
      <c r="I1304" t="s">
        <v>112</v>
      </c>
      <c r="J1304">
        <v>270</v>
      </c>
      <c r="K1304">
        <v>1215</v>
      </c>
      <c r="L1304">
        <v>1</v>
      </c>
      <c r="M1304">
        <v>134</v>
      </c>
      <c r="N1304">
        <v>603</v>
      </c>
      <c r="O1304">
        <v>1</v>
      </c>
      <c r="P1304">
        <v>11</v>
      </c>
      <c r="Q1304">
        <v>23</v>
      </c>
      <c r="R1304">
        <v>1</v>
      </c>
      <c r="S1304">
        <v>1500000</v>
      </c>
      <c r="T1304" t="s">
        <v>1156</v>
      </c>
      <c r="U1304" t="s">
        <v>1105</v>
      </c>
      <c r="W1304">
        <v>562.5</v>
      </c>
      <c r="X1304" t="b">
        <v>1</v>
      </c>
    </row>
    <row r="1305" spans="1:24" x14ac:dyDescent="0.25">
      <c r="A1305">
        <v>1316</v>
      </c>
      <c r="B1305" t="s">
        <v>2711</v>
      </c>
      <c r="C1305">
        <v>5</v>
      </c>
      <c r="D1305">
        <v>21</v>
      </c>
      <c r="E1305">
        <v>99</v>
      </c>
      <c r="F1305">
        <v>4</v>
      </c>
      <c r="G1305" t="s">
        <v>112</v>
      </c>
      <c r="H1305">
        <v>7</v>
      </c>
      <c r="I1305" t="s">
        <v>112</v>
      </c>
      <c r="J1305">
        <v>972</v>
      </c>
      <c r="K1305">
        <v>2430</v>
      </c>
      <c r="L1305">
        <v>1</v>
      </c>
      <c r="M1305">
        <v>543</v>
      </c>
      <c r="N1305">
        <v>1358</v>
      </c>
      <c r="O1305">
        <v>1</v>
      </c>
      <c r="P1305">
        <v>21</v>
      </c>
      <c r="Q1305">
        <v>44</v>
      </c>
      <c r="R1305">
        <v>1</v>
      </c>
      <c r="S1305">
        <v>3000000</v>
      </c>
      <c r="T1305" t="s">
        <v>1156</v>
      </c>
      <c r="U1305" t="s">
        <v>453</v>
      </c>
      <c r="V1305" t="s">
        <v>2712</v>
      </c>
      <c r="W1305">
        <v>975</v>
      </c>
      <c r="X1305" t="b">
        <v>1</v>
      </c>
    </row>
    <row r="1306" spans="1:24" x14ac:dyDescent="0.25">
      <c r="A1306">
        <v>1317</v>
      </c>
      <c r="B1306" t="s">
        <v>2713</v>
      </c>
      <c r="C1306">
        <v>6</v>
      </c>
      <c r="D1306">
        <v>60</v>
      </c>
      <c r="E1306">
        <v>99</v>
      </c>
      <c r="F1306">
        <v>0</v>
      </c>
      <c r="G1306">
        <v>0</v>
      </c>
      <c r="H1306">
        <v>2</v>
      </c>
      <c r="I1306" t="s">
        <v>112</v>
      </c>
      <c r="J1306">
        <v>1000</v>
      </c>
      <c r="K1306">
        <v>4500</v>
      </c>
      <c r="L1306">
        <v>1.5</v>
      </c>
      <c r="M1306">
        <v>500</v>
      </c>
      <c r="N1306">
        <v>1300</v>
      </c>
      <c r="O1306">
        <v>1.5</v>
      </c>
      <c r="P1306">
        <v>50</v>
      </c>
      <c r="Q1306">
        <v>200</v>
      </c>
      <c r="R1306">
        <v>1.5</v>
      </c>
      <c r="S1306">
        <v>4000000</v>
      </c>
      <c r="T1306" t="s">
        <v>2714</v>
      </c>
      <c r="U1306" t="s">
        <v>192</v>
      </c>
      <c r="V1306" t="s">
        <v>473</v>
      </c>
      <c r="W1306">
        <v>2475</v>
      </c>
      <c r="X1306" t="b">
        <v>1</v>
      </c>
    </row>
    <row r="1307" spans="1:24" x14ac:dyDescent="0.25">
      <c r="A1307">
        <v>1318</v>
      </c>
      <c r="B1307" t="s">
        <v>2741</v>
      </c>
      <c r="C1307">
        <v>6</v>
      </c>
      <c r="D1307">
        <v>28</v>
      </c>
      <c r="E1307">
        <v>99</v>
      </c>
      <c r="F1307">
        <v>3</v>
      </c>
      <c r="G1307">
        <v>3</v>
      </c>
      <c r="H1307">
        <v>1</v>
      </c>
      <c r="I1307" t="s">
        <v>112</v>
      </c>
      <c r="J1307">
        <v>1184</v>
      </c>
      <c r="K1307">
        <v>2705</v>
      </c>
      <c r="L1307">
        <v>1</v>
      </c>
      <c r="M1307">
        <v>642</v>
      </c>
      <c r="N1307">
        <v>1063</v>
      </c>
      <c r="O1307">
        <v>1</v>
      </c>
      <c r="P1307">
        <v>294</v>
      </c>
      <c r="Q1307">
        <v>382</v>
      </c>
      <c r="R1307">
        <v>1</v>
      </c>
      <c r="S1307">
        <v>3000000</v>
      </c>
      <c r="T1307" t="s">
        <v>2742</v>
      </c>
      <c r="U1307" t="s">
        <v>322</v>
      </c>
      <c r="V1307" t="s">
        <v>2244</v>
      </c>
      <c r="W1307">
        <v>1275</v>
      </c>
      <c r="X1307" t="b">
        <v>1</v>
      </c>
    </row>
    <row r="1308" spans="1:24" x14ac:dyDescent="0.25">
      <c r="A1308">
        <v>1319</v>
      </c>
      <c r="B1308" t="s">
        <v>2743</v>
      </c>
      <c r="C1308">
        <v>4</v>
      </c>
      <c r="D1308">
        <v>10</v>
      </c>
      <c r="E1308">
        <v>99</v>
      </c>
      <c r="F1308">
        <v>3</v>
      </c>
      <c r="G1308" t="s">
        <v>112</v>
      </c>
      <c r="H1308">
        <v>5</v>
      </c>
      <c r="I1308" t="s">
        <v>112</v>
      </c>
      <c r="J1308">
        <v>422</v>
      </c>
      <c r="K1308">
        <v>2279</v>
      </c>
      <c r="L1308">
        <v>1</v>
      </c>
      <c r="M1308">
        <v>311</v>
      </c>
      <c r="N1308">
        <v>915</v>
      </c>
      <c r="O1308">
        <v>1</v>
      </c>
      <c r="P1308">
        <v>83</v>
      </c>
      <c r="Q1308">
        <v>108</v>
      </c>
      <c r="R1308">
        <v>1</v>
      </c>
      <c r="S1308">
        <v>3000000</v>
      </c>
      <c r="T1308" t="s">
        <v>2744</v>
      </c>
      <c r="U1308" t="s">
        <v>2745</v>
      </c>
      <c r="V1308" t="s">
        <v>2746</v>
      </c>
      <c r="W1308">
        <v>525</v>
      </c>
      <c r="X1308" t="b">
        <v>1</v>
      </c>
    </row>
    <row r="1309" spans="1:24" x14ac:dyDescent="0.25">
      <c r="A1309">
        <v>1320</v>
      </c>
      <c r="B1309" t="s">
        <v>2747</v>
      </c>
      <c r="C1309">
        <v>6</v>
      </c>
      <c r="D1309">
        <v>30</v>
      </c>
      <c r="E1309">
        <v>99</v>
      </c>
      <c r="F1309">
        <v>2</v>
      </c>
      <c r="G1309">
        <v>1</v>
      </c>
      <c r="H1309">
        <v>4</v>
      </c>
      <c r="I1309">
        <v>1</v>
      </c>
      <c r="J1309">
        <v>587</v>
      </c>
      <c r="K1309">
        <v>2685</v>
      </c>
      <c r="L1309">
        <v>0.7</v>
      </c>
      <c r="M1309">
        <v>356</v>
      </c>
      <c r="N1309">
        <v>1275</v>
      </c>
      <c r="O1309">
        <v>0.7</v>
      </c>
      <c r="P1309">
        <v>164</v>
      </c>
      <c r="Q1309">
        <v>388</v>
      </c>
      <c r="R1309">
        <v>0.7</v>
      </c>
      <c r="S1309">
        <v>4000000</v>
      </c>
      <c r="T1309" t="s">
        <v>2748</v>
      </c>
      <c r="U1309" t="s">
        <v>700</v>
      </c>
      <c r="V1309" t="s">
        <v>2602</v>
      </c>
      <c r="W1309">
        <v>1350</v>
      </c>
      <c r="X1309" t="b">
        <v>1</v>
      </c>
    </row>
    <row r="1310" spans="1:24" x14ac:dyDescent="0.25">
      <c r="A1310">
        <v>1321</v>
      </c>
      <c r="B1310" t="s">
        <v>2749</v>
      </c>
      <c r="C1310">
        <v>3</v>
      </c>
      <c r="D1310">
        <v>10</v>
      </c>
      <c r="E1310">
        <v>70</v>
      </c>
      <c r="F1310">
        <v>1</v>
      </c>
      <c r="G1310" t="s">
        <v>112</v>
      </c>
      <c r="H1310">
        <v>4</v>
      </c>
      <c r="I1310" t="s">
        <v>112</v>
      </c>
      <c r="J1310">
        <v>294</v>
      </c>
      <c r="K1310">
        <v>1342</v>
      </c>
      <c r="L1310">
        <v>0.7</v>
      </c>
      <c r="M1310">
        <v>178</v>
      </c>
      <c r="N1310">
        <v>638</v>
      </c>
      <c r="O1310">
        <v>0.7</v>
      </c>
      <c r="P1310">
        <v>82</v>
      </c>
      <c r="Q1310">
        <v>194</v>
      </c>
      <c r="R1310">
        <v>0.7</v>
      </c>
      <c r="S1310">
        <v>1000000</v>
      </c>
      <c r="T1310" t="s">
        <v>112</v>
      </c>
      <c r="U1310" t="s">
        <v>700</v>
      </c>
      <c r="W1310">
        <v>487.5</v>
      </c>
      <c r="X1310" t="b">
        <v>1</v>
      </c>
    </row>
    <row r="1311" spans="1:24" x14ac:dyDescent="0.25">
      <c r="A1311">
        <v>1322</v>
      </c>
      <c r="B1311" t="s">
        <v>2750</v>
      </c>
      <c r="C1311">
        <v>7</v>
      </c>
      <c r="D1311">
        <v>60</v>
      </c>
      <c r="E1311">
        <v>99</v>
      </c>
      <c r="F1311">
        <v>3</v>
      </c>
      <c r="G1311">
        <v>3</v>
      </c>
      <c r="H1311">
        <v>1</v>
      </c>
      <c r="I1311" t="s">
        <v>112</v>
      </c>
      <c r="J1311">
        <v>922</v>
      </c>
      <c r="K1311">
        <v>2455</v>
      </c>
      <c r="L1311">
        <v>1</v>
      </c>
      <c r="M1311">
        <v>482</v>
      </c>
      <c r="N1311">
        <v>1305</v>
      </c>
      <c r="O1311">
        <v>1</v>
      </c>
      <c r="P1311">
        <v>174</v>
      </c>
      <c r="Q1311">
        <v>395</v>
      </c>
      <c r="R1311">
        <v>1</v>
      </c>
      <c r="S1311">
        <v>4000000</v>
      </c>
      <c r="T1311" t="s">
        <v>2751</v>
      </c>
      <c r="U1311" t="s">
        <v>1369</v>
      </c>
      <c r="V1311" t="s">
        <v>2606</v>
      </c>
      <c r="W1311">
        <v>2512.5</v>
      </c>
      <c r="X1311" t="b">
        <v>0</v>
      </c>
    </row>
    <row r="1312" spans="1:24" x14ac:dyDescent="0.25">
      <c r="A1312">
        <v>1323</v>
      </c>
      <c r="B1312" t="s">
        <v>2752</v>
      </c>
      <c r="C1312">
        <v>6</v>
      </c>
      <c r="D1312">
        <v>1</v>
      </c>
      <c r="E1312">
        <v>1</v>
      </c>
      <c r="F1312">
        <v>4</v>
      </c>
      <c r="G1312" t="s">
        <v>112</v>
      </c>
      <c r="H1312">
        <v>14</v>
      </c>
      <c r="I1312" t="s">
        <v>112</v>
      </c>
      <c r="J1312">
        <v>1200</v>
      </c>
      <c r="K1312">
        <v>1200</v>
      </c>
      <c r="L1312">
        <v>1</v>
      </c>
      <c r="M1312">
        <v>500</v>
      </c>
      <c r="N1312">
        <v>500</v>
      </c>
      <c r="O1312">
        <v>1</v>
      </c>
      <c r="P1312">
        <v>200</v>
      </c>
      <c r="Q1312">
        <v>200</v>
      </c>
      <c r="R1312">
        <v>1</v>
      </c>
      <c r="S1312">
        <v>1500000</v>
      </c>
      <c r="T1312" t="s">
        <v>2753</v>
      </c>
      <c r="U1312" t="s">
        <v>2754</v>
      </c>
      <c r="W1312">
        <v>150000</v>
      </c>
      <c r="X1312" t="b">
        <v>1</v>
      </c>
    </row>
    <row r="1313" spans="1:24" x14ac:dyDescent="0.25">
      <c r="A1313">
        <v>1325</v>
      </c>
      <c r="B1313" t="s">
        <v>2715</v>
      </c>
      <c r="C1313">
        <v>7</v>
      </c>
      <c r="D1313">
        <v>1</v>
      </c>
      <c r="E1313">
        <v>1</v>
      </c>
      <c r="F1313">
        <v>0</v>
      </c>
      <c r="G1313" t="s">
        <v>112</v>
      </c>
      <c r="H1313">
        <v>0</v>
      </c>
      <c r="I1313" t="s">
        <v>112</v>
      </c>
      <c r="J1313">
        <v>100</v>
      </c>
      <c r="K1313">
        <v>100</v>
      </c>
      <c r="L1313">
        <v>1</v>
      </c>
      <c r="M1313">
        <v>100</v>
      </c>
      <c r="N1313">
        <v>100</v>
      </c>
      <c r="O1313">
        <v>1</v>
      </c>
      <c r="P1313">
        <v>300</v>
      </c>
      <c r="Q1313">
        <v>300</v>
      </c>
      <c r="R1313">
        <v>1</v>
      </c>
      <c r="S1313">
        <v>2000000</v>
      </c>
      <c r="T1313" t="s">
        <v>112</v>
      </c>
      <c r="U1313" t="s">
        <v>1333</v>
      </c>
      <c r="W1313">
        <v>15000</v>
      </c>
      <c r="X1313" t="b">
        <v>1</v>
      </c>
    </row>
    <row r="1314" spans="1:24" x14ac:dyDescent="0.25">
      <c r="A1314">
        <v>1326</v>
      </c>
      <c r="B1314" t="s">
        <v>2716</v>
      </c>
      <c r="C1314">
        <v>7</v>
      </c>
      <c r="D1314">
        <v>1</v>
      </c>
      <c r="E1314">
        <v>1</v>
      </c>
      <c r="F1314">
        <v>1</v>
      </c>
      <c r="G1314" t="s">
        <v>112</v>
      </c>
      <c r="H1314">
        <v>0</v>
      </c>
      <c r="I1314" t="s">
        <v>112</v>
      </c>
      <c r="J1314">
        <v>100</v>
      </c>
      <c r="K1314">
        <v>100</v>
      </c>
      <c r="L1314">
        <v>1</v>
      </c>
      <c r="M1314">
        <v>100</v>
      </c>
      <c r="N1314">
        <v>100</v>
      </c>
      <c r="O1314">
        <v>1</v>
      </c>
      <c r="P1314">
        <v>300</v>
      </c>
      <c r="Q1314">
        <v>300</v>
      </c>
      <c r="R1314">
        <v>1</v>
      </c>
      <c r="S1314">
        <v>2000000</v>
      </c>
      <c r="T1314" t="s">
        <v>112</v>
      </c>
      <c r="U1314" t="s">
        <v>1337</v>
      </c>
      <c r="W1314">
        <v>15000</v>
      </c>
      <c r="X1314" t="b">
        <v>1</v>
      </c>
    </row>
    <row r="1315" spans="1:24" x14ac:dyDescent="0.25">
      <c r="A1315">
        <v>1327</v>
      </c>
      <c r="B1315" t="s">
        <v>2717</v>
      </c>
      <c r="C1315">
        <v>7</v>
      </c>
      <c r="D1315">
        <v>1</v>
      </c>
      <c r="E1315">
        <v>1</v>
      </c>
      <c r="F1315">
        <v>2</v>
      </c>
      <c r="G1315" t="s">
        <v>112</v>
      </c>
      <c r="H1315">
        <v>0</v>
      </c>
      <c r="I1315" t="s">
        <v>112</v>
      </c>
      <c r="J1315">
        <v>100</v>
      </c>
      <c r="K1315">
        <v>100</v>
      </c>
      <c r="L1315">
        <v>1</v>
      </c>
      <c r="M1315">
        <v>100</v>
      </c>
      <c r="N1315">
        <v>100</v>
      </c>
      <c r="O1315">
        <v>1</v>
      </c>
      <c r="P1315">
        <v>300</v>
      </c>
      <c r="Q1315">
        <v>300</v>
      </c>
      <c r="R1315">
        <v>1</v>
      </c>
      <c r="S1315">
        <v>2000000</v>
      </c>
      <c r="T1315" t="s">
        <v>112</v>
      </c>
      <c r="U1315" t="s">
        <v>1341</v>
      </c>
      <c r="W1315">
        <v>15000</v>
      </c>
      <c r="X1315" t="b">
        <v>1</v>
      </c>
    </row>
    <row r="1316" spans="1:24" x14ac:dyDescent="0.25">
      <c r="A1316">
        <v>1328</v>
      </c>
      <c r="B1316" t="s">
        <v>2718</v>
      </c>
      <c r="C1316">
        <v>7</v>
      </c>
      <c r="D1316">
        <v>1</v>
      </c>
      <c r="E1316">
        <v>1</v>
      </c>
      <c r="F1316">
        <v>3</v>
      </c>
      <c r="G1316" t="s">
        <v>112</v>
      </c>
      <c r="H1316">
        <v>0</v>
      </c>
      <c r="I1316" t="s">
        <v>112</v>
      </c>
      <c r="J1316">
        <v>100</v>
      </c>
      <c r="K1316">
        <v>100</v>
      </c>
      <c r="L1316">
        <v>1</v>
      </c>
      <c r="M1316">
        <v>100</v>
      </c>
      <c r="N1316">
        <v>100</v>
      </c>
      <c r="O1316">
        <v>1</v>
      </c>
      <c r="P1316">
        <v>300</v>
      </c>
      <c r="Q1316">
        <v>300</v>
      </c>
      <c r="R1316">
        <v>1</v>
      </c>
      <c r="S1316">
        <v>2000000</v>
      </c>
      <c r="T1316" t="s">
        <v>112</v>
      </c>
      <c r="U1316" t="s">
        <v>506</v>
      </c>
      <c r="W1316">
        <v>15000</v>
      </c>
      <c r="X1316" t="b">
        <v>1</v>
      </c>
    </row>
    <row r="1317" spans="1:24" x14ac:dyDescent="0.25">
      <c r="A1317">
        <v>1329</v>
      </c>
      <c r="B1317" t="s">
        <v>2719</v>
      </c>
      <c r="C1317">
        <v>7</v>
      </c>
      <c r="D1317">
        <v>1</v>
      </c>
      <c r="E1317">
        <v>1</v>
      </c>
      <c r="F1317">
        <v>4</v>
      </c>
      <c r="G1317" t="s">
        <v>112</v>
      </c>
      <c r="H1317">
        <v>0</v>
      </c>
      <c r="I1317" t="s">
        <v>112</v>
      </c>
      <c r="J1317">
        <v>100</v>
      </c>
      <c r="K1317">
        <v>100</v>
      </c>
      <c r="L1317">
        <v>1</v>
      </c>
      <c r="M1317">
        <v>100</v>
      </c>
      <c r="N1317">
        <v>100</v>
      </c>
      <c r="O1317">
        <v>1</v>
      </c>
      <c r="P1317">
        <v>300</v>
      </c>
      <c r="Q1317">
        <v>300</v>
      </c>
      <c r="R1317">
        <v>1</v>
      </c>
      <c r="S1317">
        <v>2000000</v>
      </c>
      <c r="T1317" t="s">
        <v>112</v>
      </c>
      <c r="U1317" t="s">
        <v>1349</v>
      </c>
      <c r="W1317">
        <v>15000</v>
      </c>
      <c r="X1317" t="b">
        <v>1</v>
      </c>
    </row>
    <row r="1318" spans="1:24" x14ac:dyDescent="0.25">
      <c r="A1318">
        <v>1342</v>
      </c>
      <c r="B1318" t="s">
        <v>2755</v>
      </c>
      <c r="C1318">
        <v>8</v>
      </c>
      <c r="D1318">
        <v>110</v>
      </c>
      <c r="E1318">
        <v>99</v>
      </c>
      <c r="F1318">
        <v>3</v>
      </c>
      <c r="G1318">
        <v>3</v>
      </c>
      <c r="H1318">
        <v>4</v>
      </c>
      <c r="I1318">
        <v>2</v>
      </c>
      <c r="J1318">
        <v>1482</v>
      </c>
      <c r="K1318">
        <v>4005</v>
      </c>
      <c r="L1318">
        <v>1</v>
      </c>
      <c r="M1318">
        <v>1181</v>
      </c>
      <c r="N1318">
        <v>1772</v>
      </c>
      <c r="O1318">
        <v>1</v>
      </c>
      <c r="P1318">
        <v>104</v>
      </c>
      <c r="Q1318">
        <v>156</v>
      </c>
      <c r="R1318">
        <v>1</v>
      </c>
      <c r="S1318">
        <v>5000000</v>
      </c>
      <c r="T1318" t="s">
        <v>2756</v>
      </c>
      <c r="U1318" t="s">
        <v>1345</v>
      </c>
      <c r="V1318" t="s">
        <v>2757</v>
      </c>
      <c r="W1318">
        <v>4425</v>
      </c>
      <c r="X1318" t="b">
        <v>1</v>
      </c>
    </row>
    <row r="1319" spans="1:24" x14ac:dyDescent="0.25">
      <c r="A1319">
        <v>1343</v>
      </c>
      <c r="B1319" t="s">
        <v>2758</v>
      </c>
      <c r="C1319">
        <v>8</v>
      </c>
      <c r="D1319">
        <v>110</v>
      </c>
      <c r="E1319">
        <v>99</v>
      </c>
      <c r="F1319">
        <v>4</v>
      </c>
      <c r="G1319">
        <v>3</v>
      </c>
      <c r="H1319">
        <v>5</v>
      </c>
      <c r="I1319">
        <v>4</v>
      </c>
      <c r="J1319">
        <v>1482</v>
      </c>
      <c r="K1319">
        <v>3755</v>
      </c>
      <c r="L1319">
        <v>1</v>
      </c>
      <c r="M1319">
        <v>1181</v>
      </c>
      <c r="N1319">
        <v>1812</v>
      </c>
      <c r="O1319">
        <v>1</v>
      </c>
      <c r="P1319">
        <v>104</v>
      </c>
      <c r="Q1319">
        <v>206</v>
      </c>
      <c r="R1319">
        <v>1</v>
      </c>
      <c r="S1319">
        <v>5000000</v>
      </c>
      <c r="T1319" t="s">
        <v>2759</v>
      </c>
      <c r="U1319" t="s">
        <v>1345</v>
      </c>
      <c r="V1319" t="s">
        <v>2760</v>
      </c>
      <c r="W1319">
        <v>4425</v>
      </c>
      <c r="X1319" t="b">
        <v>1</v>
      </c>
    </row>
    <row r="1320" spans="1:24" x14ac:dyDescent="0.25">
      <c r="A1320">
        <v>1345</v>
      </c>
      <c r="B1320" t="s">
        <v>2761</v>
      </c>
      <c r="C1320">
        <v>7</v>
      </c>
      <c r="D1320">
        <v>35</v>
      </c>
      <c r="E1320">
        <v>99</v>
      </c>
      <c r="F1320">
        <v>1</v>
      </c>
      <c r="G1320">
        <v>3</v>
      </c>
      <c r="H1320">
        <v>5</v>
      </c>
      <c r="I1320">
        <v>3</v>
      </c>
      <c r="J1320">
        <v>966</v>
      </c>
      <c r="K1320">
        <v>2605</v>
      </c>
      <c r="L1320">
        <v>1.5</v>
      </c>
      <c r="M1320">
        <v>821</v>
      </c>
      <c r="N1320">
        <v>1232</v>
      </c>
      <c r="O1320">
        <v>1.5</v>
      </c>
      <c r="P1320">
        <v>346</v>
      </c>
      <c r="Q1320">
        <v>609</v>
      </c>
      <c r="R1320">
        <v>1.5</v>
      </c>
      <c r="S1320">
        <v>4000000</v>
      </c>
      <c r="T1320" t="s">
        <v>2762</v>
      </c>
      <c r="U1320" t="s">
        <v>708</v>
      </c>
      <c r="V1320" t="s">
        <v>2183</v>
      </c>
      <c r="W1320">
        <v>1575</v>
      </c>
      <c r="X1320" t="b">
        <v>1</v>
      </c>
    </row>
    <row r="1321" spans="1:24" x14ac:dyDescent="0.25">
      <c r="A1321">
        <v>1349</v>
      </c>
      <c r="B1321" t="s">
        <v>2763</v>
      </c>
      <c r="C1321">
        <v>4</v>
      </c>
      <c r="D1321">
        <v>12</v>
      </c>
      <c r="E1321">
        <v>50</v>
      </c>
      <c r="F1321">
        <v>0</v>
      </c>
      <c r="G1321" t="s">
        <v>112</v>
      </c>
      <c r="H1321">
        <v>4</v>
      </c>
      <c r="I1321" t="s">
        <v>112</v>
      </c>
      <c r="J1321">
        <v>661</v>
      </c>
      <c r="K1321">
        <v>1586</v>
      </c>
      <c r="L1321">
        <v>1</v>
      </c>
      <c r="M1321">
        <v>456</v>
      </c>
      <c r="N1321">
        <v>775</v>
      </c>
      <c r="O1321">
        <v>1</v>
      </c>
      <c r="P1321">
        <v>46</v>
      </c>
      <c r="Q1321">
        <v>78</v>
      </c>
      <c r="R1321">
        <v>1</v>
      </c>
      <c r="S1321">
        <v>1500000</v>
      </c>
      <c r="T1321" t="s">
        <v>2764</v>
      </c>
      <c r="U1321" t="s">
        <v>335</v>
      </c>
      <c r="W1321">
        <v>600</v>
      </c>
      <c r="X1321" t="b">
        <v>1</v>
      </c>
    </row>
    <row r="1322" spans="1:24" x14ac:dyDescent="0.25">
      <c r="A1322">
        <v>1350</v>
      </c>
      <c r="B1322" t="s">
        <v>2765</v>
      </c>
      <c r="C1322">
        <v>5</v>
      </c>
      <c r="D1322">
        <v>22</v>
      </c>
      <c r="E1322">
        <v>99</v>
      </c>
      <c r="F1322">
        <v>0</v>
      </c>
      <c r="G1322" t="s">
        <v>112</v>
      </c>
      <c r="H1322">
        <v>4</v>
      </c>
      <c r="I1322" t="s">
        <v>112</v>
      </c>
      <c r="J1322">
        <v>1269</v>
      </c>
      <c r="K1322">
        <v>3223</v>
      </c>
      <c r="L1322">
        <v>1</v>
      </c>
      <c r="M1322">
        <v>698</v>
      </c>
      <c r="N1322">
        <v>1256</v>
      </c>
      <c r="O1322">
        <v>1</v>
      </c>
      <c r="P1322">
        <v>70</v>
      </c>
      <c r="Q1322">
        <v>206</v>
      </c>
      <c r="R1322">
        <v>1</v>
      </c>
      <c r="S1322">
        <v>3000000</v>
      </c>
      <c r="T1322" t="s">
        <v>2764</v>
      </c>
      <c r="U1322" t="s">
        <v>335</v>
      </c>
      <c r="V1322" t="s">
        <v>2766</v>
      </c>
      <c r="W1322">
        <v>1012.5</v>
      </c>
      <c r="X1322" t="b">
        <v>1</v>
      </c>
    </row>
    <row r="1323" spans="1:24" x14ac:dyDescent="0.25">
      <c r="A1323">
        <v>1351</v>
      </c>
      <c r="B1323" t="s">
        <v>2767</v>
      </c>
      <c r="C1323">
        <v>4</v>
      </c>
      <c r="D1323">
        <v>12</v>
      </c>
      <c r="E1323">
        <v>50</v>
      </c>
      <c r="F1323">
        <v>2</v>
      </c>
      <c r="G1323" t="s">
        <v>112</v>
      </c>
      <c r="H1323">
        <v>4</v>
      </c>
      <c r="I1323" t="s">
        <v>112</v>
      </c>
      <c r="J1323">
        <v>654</v>
      </c>
      <c r="K1323">
        <v>1570</v>
      </c>
      <c r="L1323">
        <v>1</v>
      </c>
      <c r="M1323">
        <v>421</v>
      </c>
      <c r="N1323">
        <v>716</v>
      </c>
      <c r="O1323">
        <v>1</v>
      </c>
      <c r="P1323">
        <v>70</v>
      </c>
      <c r="Q1323">
        <v>119</v>
      </c>
      <c r="R1323">
        <v>1</v>
      </c>
      <c r="S1323">
        <v>1500000</v>
      </c>
      <c r="T1323" t="s">
        <v>2768</v>
      </c>
      <c r="U1323" t="s">
        <v>2769</v>
      </c>
      <c r="W1323">
        <v>600</v>
      </c>
      <c r="X1323" t="b">
        <v>1</v>
      </c>
    </row>
    <row r="1324" spans="1:24" x14ac:dyDescent="0.25">
      <c r="A1324">
        <v>1352</v>
      </c>
      <c r="B1324" t="s">
        <v>2770</v>
      </c>
      <c r="C1324">
        <v>5</v>
      </c>
      <c r="D1324">
        <v>22</v>
      </c>
      <c r="E1324">
        <v>99</v>
      </c>
      <c r="F1324">
        <v>2</v>
      </c>
      <c r="G1324" t="s">
        <v>112</v>
      </c>
      <c r="H1324">
        <v>4</v>
      </c>
      <c r="I1324" t="s">
        <v>112</v>
      </c>
      <c r="J1324">
        <v>1256</v>
      </c>
      <c r="K1324">
        <v>3140</v>
      </c>
      <c r="L1324">
        <v>1</v>
      </c>
      <c r="M1324">
        <v>644</v>
      </c>
      <c r="N1324">
        <v>1209</v>
      </c>
      <c r="O1324">
        <v>1</v>
      </c>
      <c r="P1324">
        <v>107</v>
      </c>
      <c r="Q1324">
        <v>243</v>
      </c>
      <c r="R1324">
        <v>1</v>
      </c>
      <c r="S1324">
        <v>3000000</v>
      </c>
      <c r="T1324" t="s">
        <v>2768</v>
      </c>
      <c r="U1324" t="s">
        <v>2769</v>
      </c>
      <c r="V1324" t="s">
        <v>2771</v>
      </c>
      <c r="W1324">
        <v>1012.5</v>
      </c>
      <c r="X1324" t="b">
        <v>1</v>
      </c>
    </row>
    <row r="1325" spans="1:24" x14ac:dyDescent="0.25">
      <c r="A1325">
        <v>1353</v>
      </c>
      <c r="B1325" t="s">
        <v>2772</v>
      </c>
      <c r="C1325">
        <v>4</v>
      </c>
      <c r="D1325">
        <v>12</v>
      </c>
      <c r="E1325">
        <v>50</v>
      </c>
      <c r="F1325">
        <v>3</v>
      </c>
      <c r="G1325" t="s">
        <v>112</v>
      </c>
      <c r="H1325">
        <v>4</v>
      </c>
      <c r="I1325" t="s">
        <v>112</v>
      </c>
      <c r="J1325">
        <v>633</v>
      </c>
      <c r="K1325">
        <v>1519</v>
      </c>
      <c r="L1325">
        <v>1</v>
      </c>
      <c r="M1325">
        <v>419</v>
      </c>
      <c r="N1325">
        <v>712</v>
      </c>
      <c r="O1325">
        <v>1</v>
      </c>
      <c r="P1325">
        <v>82</v>
      </c>
      <c r="Q1325">
        <v>139</v>
      </c>
      <c r="R1325">
        <v>1</v>
      </c>
      <c r="S1325">
        <v>1500000</v>
      </c>
      <c r="T1325" t="s">
        <v>2773</v>
      </c>
      <c r="U1325" t="s">
        <v>2774</v>
      </c>
      <c r="W1325">
        <v>600</v>
      </c>
      <c r="X1325" t="b">
        <v>1</v>
      </c>
    </row>
    <row r="1326" spans="1:24" x14ac:dyDescent="0.25">
      <c r="A1326">
        <v>1354</v>
      </c>
      <c r="B1326" t="s">
        <v>2775</v>
      </c>
      <c r="C1326">
        <v>5</v>
      </c>
      <c r="D1326">
        <v>22</v>
      </c>
      <c r="E1326">
        <v>99</v>
      </c>
      <c r="F1326">
        <v>3</v>
      </c>
      <c r="G1326" t="s">
        <v>112</v>
      </c>
      <c r="H1326">
        <v>4</v>
      </c>
      <c r="I1326" t="s">
        <v>112</v>
      </c>
      <c r="J1326">
        <v>1215</v>
      </c>
      <c r="K1326">
        <v>3038</v>
      </c>
      <c r="L1326">
        <v>1</v>
      </c>
      <c r="M1326">
        <v>641</v>
      </c>
      <c r="N1326">
        <v>1224</v>
      </c>
      <c r="O1326">
        <v>1</v>
      </c>
      <c r="P1326">
        <v>125</v>
      </c>
      <c r="Q1326">
        <v>275</v>
      </c>
      <c r="R1326">
        <v>1</v>
      </c>
      <c r="S1326">
        <v>3000000</v>
      </c>
      <c r="T1326" t="s">
        <v>2773</v>
      </c>
      <c r="U1326" t="s">
        <v>2774</v>
      </c>
      <c r="V1326" t="s">
        <v>2776</v>
      </c>
      <c r="W1326">
        <v>1012.5</v>
      </c>
      <c r="X1326" t="b">
        <v>1</v>
      </c>
    </row>
    <row r="1327" spans="1:24" x14ac:dyDescent="0.25">
      <c r="A1327">
        <v>1355</v>
      </c>
      <c r="B1327" t="s">
        <v>2777</v>
      </c>
      <c r="C1327">
        <v>5</v>
      </c>
      <c r="D1327">
        <v>15</v>
      </c>
      <c r="E1327">
        <v>50</v>
      </c>
      <c r="F1327">
        <v>0</v>
      </c>
      <c r="G1327" t="s">
        <v>112</v>
      </c>
      <c r="H1327">
        <v>4</v>
      </c>
      <c r="I1327" t="s">
        <v>112</v>
      </c>
      <c r="J1327">
        <v>557</v>
      </c>
      <c r="K1327">
        <v>1337</v>
      </c>
      <c r="L1327">
        <v>1</v>
      </c>
      <c r="M1327">
        <v>575</v>
      </c>
      <c r="N1327">
        <v>978</v>
      </c>
      <c r="O1327">
        <v>1</v>
      </c>
      <c r="P1327">
        <v>71</v>
      </c>
      <c r="Q1327">
        <v>121</v>
      </c>
      <c r="R1327">
        <v>1</v>
      </c>
      <c r="S1327">
        <v>1500000</v>
      </c>
      <c r="T1327" t="s">
        <v>2778</v>
      </c>
      <c r="U1327" t="s">
        <v>2779</v>
      </c>
      <c r="W1327">
        <v>750</v>
      </c>
      <c r="X1327" t="b">
        <v>1</v>
      </c>
    </row>
    <row r="1328" spans="1:24" x14ac:dyDescent="0.25">
      <c r="A1328">
        <v>1356</v>
      </c>
      <c r="B1328" t="s">
        <v>2780</v>
      </c>
      <c r="C1328">
        <v>6</v>
      </c>
      <c r="D1328">
        <v>25</v>
      </c>
      <c r="E1328">
        <v>99</v>
      </c>
      <c r="F1328">
        <v>0</v>
      </c>
      <c r="G1328">
        <v>4</v>
      </c>
      <c r="H1328">
        <v>4</v>
      </c>
      <c r="I1328">
        <v>7</v>
      </c>
      <c r="J1328">
        <v>1070</v>
      </c>
      <c r="K1328">
        <v>2675</v>
      </c>
      <c r="L1328">
        <v>1</v>
      </c>
      <c r="M1328">
        <v>880</v>
      </c>
      <c r="N1328">
        <v>1584</v>
      </c>
      <c r="O1328">
        <v>1</v>
      </c>
      <c r="P1328">
        <v>109</v>
      </c>
      <c r="Q1328">
        <v>196</v>
      </c>
      <c r="R1328">
        <v>1</v>
      </c>
      <c r="S1328">
        <v>4000000</v>
      </c>
      <c r="T1328" t="s">
        <v>2778</v>
      </c>
      <c r="U1328" t="s">
        <v>2779</v>
      </c>
      <c r="V1328" t="s">
        <v>2781</v>
      </c>
      <c r="W1328">
        <v>1162.5</v>
      </c>
      <c r="X1328" t="b">
        <v>1</v>
      </c>
    </row>
    <row r="1329" spans="1:24" x14ac:dyDescent="0.25">
      <c r="A1329">
        <v>1357</v>
      </c>
      <c r="B1329" t="s">
        <v>2782</v>
      </c>
      <c r="C1329">
        <v>5</v>
      </c>
      <c r="D1329">
        <v>15</v>
      </c>
      <c r="E1329">
        <v>50</v>
      </c>
      <c r="F1329">
        <v>4</v>
      </c>
      <c r="G1329" t="s">
        <v>112</v>
      </c>
      <c r="H1329">
        <v>4</v>
      </c>
      <c r="I1329" t="s">
        <v>112</v>
      </c>
      <c r="J1329">
        <v>861</v>
      </c>
      <c r="K1329">
        <v>2066</v>
      </c>
      <c r="L1329">
        <v>1</v>
      </c>
      <c r="M1329">
        <v>444</v>
      </c>
      <c r="N1329">
        <v>755</v>
      </c>
      <c r="O1329">
        <v>1</v>
      </c>
      <c r="P1329">
        <v>9</v>
      </c>
      <c r="Q1329">
        <v>15</v>
      </c>
      <c r="R1329">
        <v>1</v>
      </c>
      <c r="S1329">
        <v>1500000</v>
      </c>
      <c r="T1329" t="s">
        <v>2783</v>
      </c>
      <c r="U1329" t="s">
        <v>2784</v>
      </c>
      <c r="W1329">
        <v>750</v>
      </c>
      <c r="X1329" t="b">
        <v>1</v>
      </c>
    </row>
    <row r="1330" spans="1:24" x14ac:dyDescent="0.25">
      <c r="A1330">
        <v>1358</v>
      </c>
      <c r="B1330" t="s">
        <v>2785</v>
      </c>
      <c r="C1330">
        <v>6</v>
      </c>
      <c r="D1330">
        <v>25</v>
      </c>
      <c r="E1330">
        <v>99</v>
      </c>
      <c r="F1330">
        <v>4</v>
      </c>
      <c r="G1330">
        <v>4</v>
      </c>
      <c r="H1330">
        <v>4</v>
      </c>
      <c r="I1330">
        <v>7</v>
      </c>
      <c r="J1330">
        <v>1653</v>
      </c>
      <c r="K1330">
        <v>4033</v>
      </c>
      <c r="L1330">
        <v>1</v>
      </c>
      <c r="M1330">
        <v>680</v>
      </c>
      <c r="N1330">
        <v>1204</v>
      </c>
      <c r="O1330">
        <v>1</v>
      </c>
      <c r="P1330">
        <v>14</v>
      </c>
      <c r="Q1330">
        <v>25</v>
      </c>
      <c r="R1330">
        <v>1</v>
      </c>
      <c r="S1330">
        <v>4000000</v>
      </c>
      <c r="T1330" t="s">
        <v>2783</v>
      </c>
      <c r="U1330" t="s">
        <v>2784</v>
      </c>
      <c r="V1330" t="s">
        <v>2786</v>
      </c>
      <c r="W1330">
        <v>1162.5</v>
      </c>
      <c r="X1330" t="b">
        <v>1</v>
      </c>
    </row>
    <row r="1331" spans="1:24" x14ac:dyDescent="0.25">
      <c r="A1331">
        <v>1361</v>
      </c>
      <c r="B1331" t="s">
        <v>2787</v>
      </c>
      <c r="C1331">
        <v>6</v>
      </c>
      <c r="D1331">
        <v>30</v>
      </c>
      <c r="E1331">
        <v>99</v>
      </c>
      <c r="F1331">
        <v>0</v>
      </c>
      <c r="G1331" t="s">
        <v>112</v>
      </c>
      <c r="H1331">
        <v>4</v>
      </c>
      <c r="I1331">
        <v>3</v>
      </c>
      <c r="J1331">
        <v>1154</v>
      </c>
      <c r="K1331">
        <v>2916</v>
      </c>
      <c r="L1331">
        <v>1</v>
      </c>
      <c r="M1331">
        <v>605</v>
      </c>
      <c r="N1331">
        <v>1321</v>
      </c>
      <c r="O1331">
        <v>1</v>
      </c>
      <c r="P1331">
        <v>123</v>
      </c>
      <c r="Q1331">
        <v>482</v>
      </c>
      <c r="R1331">
        <v>1</v>
      </c>
      <c r="S1331">
        <v>4000000</v>
      </c>
      <c r="T1331" t="s">
        <v>2788</v>
      </c>
      <c r="U1331" t="s">
        <v>2789</v>
      </c>
      <c r="V1331" t="s">
        <v>433</v>
      </c>
      <c r="W1331">
        <v>1350</v>
      </c>
      <c r="X1331" t="b">
        <v>1</v>
      </c>
    </row>
    <row r="1332" spans="1:24" x14ac:dyDescent="0.25">
      <c r="A1332">
        <v>1366</v>
      </c>
      <c r="B1332" t="s">
        <v>2790</v>
      </c>
      <c r="C1332">
        <v>2</v>
      </c>
      <c r="D1332">
        <v>4</v>
      </c>
      <c r="E1332">
        <v>30</v>
      </c>
      <c r="F1332">
        <v>0</v>
      </c>
      <c r="G1332" t="s">
        <v>112</v>
      </c>
      <c r="H1332">
        <v>4</v>
      </c>
      <c r="I1332" t="s">
        <v>112</v>
      </c>
      <c r="J1332">
        <v>237</v>
      </c>
      <c r="K1332">
        <v>616</v>
      </c>
      <c r="L1332">
        <v>1</v>
      </c>
      <c r="M1332">
        <v>432</v>
      </c>
      <c r="N1332">
        <v>691</v>
      </c>
      <c r="O1332">
        <v>1</v>
      </c>
      <c r="P1332">
        <v>45</v>
      </c>
      <c r="Q1332">
        <v>72</v>
      </c>
      <c r="R1332">
        <v>1</v>
      </c>
      <c r="S1332">
        <v>1500000</v>
      </c>
      <c r="T1332" t="s">
        <v>112</v>
      </c>
      <c r="U1332" t="s">
        <v>2500</v>
      </c>
      <c r="W1332">
        <v>225</v>
      </c>
      <c r="X1332" t="b">
        <v>1</v>
      </c>
    </row>
    <row r="1333" spans="1:24" x14ac:dyDescent="0.25">
      <c r="A1333">
        <v>1371</v>
      </c>
      <c r="B1333" t="s">
        <v>2791</v>
      </c>
      <c r="C1333">
        <v>8</v>
      </c>
      <c r="D1333">
        <v>70</v>
      </c>
      <c r="E1333">
        <v>99</v>
      </c>
      <c r="F1333">
        <v>4</v>
      </c>
      <c r="G1333">
        <v>4</v>
      </c>
      <c r="H1333">
        <v>7</v>
      </c>
      <c r="I1333">
        <v>6</v>
      </c>
      <c r="J1333">
        <v>789</v>
      </c>
      <c r="K1333">
        <v>2473</v>
      </c>
      <c r="L1333">
        <v>1</v>
      </c>
      <c r="M1333">
        <v>1343</v>
      </c>
      <c r="N1333">
        <v>2115</v>
      </c>
      <c r="O1333">
        <v>1</v>
      </c>
      <c r="P1333">
        <v>0</v>
      </c>
      <c r="Q1333">
        <v>250</v>
      </c>
      <c r="R1333">
        <v>1</v>
      </c>
      <c r="S1333">
        <v>5000000</v>
      </c>
      <c r="T1333" t="s">
        <v>2792</v>
      </c>
      <c r="U1333" t="s">
        <v>1190</v>
      </c>
      <c r="V1333" t="s">
        <v>2793</v>
      </c>
      <c r="W1333">
        <v>2925</v>
      </c>
      <c r="X1333" t="b">
        <v>1</v>
      </c>
    </row>
    <row r="1334" spans="1:24" x14ac:dyDescent="0.25">
      <c r="A1334">
        <v>1372</v>
      </c>
      <c r="B1334" t="s">
        <v>2794</v>
      </c>
      <c r="C1334">
        <v>5</v>
      </c>
      <c r="D1334">
        <v>30</v>
      </c>
      <c r="E1334">
        <v>50</v>
      </c>
      <c r="F1334">
        <v>2</v>
      </c>
      <c r="G1334" t="s">
        <v>112</v>
      </c>
      <c r="H1334">
        <v>5</v>
      </c>
      <c r="I1334">
        <v>6</v>
      </c>
      <c r="J1334">
        <v>446</v>
      </c>
      <c r="K1334">
        <v>1070</v>
      </c>
      <c r="L1334">
        <v>1</v>
      </c>
      <c r="M1334">
        <v>731</v>
      </c>
      <c r="N1334">
        <v>1243</v>
      </c>
      <c r="O1334">
        <v>1</v>
      </c>
      <c r="P1334">
        <v>150</v>
      </c>
      <c r="Q1334">
        <v>255</v>
      </c>
      <c r="R1334">
        <v>1</v>
      </c>
      <c r="S1334">
        <v>5000000</v>
      </c>
      <c r="T1334" t="s">
        <v>2795</v>
      </c>
      <c r="U1334" t="s">
        <v>2796</v>
      </c>
      <c r="W1334">
        <v>1312.5</v>
      </c>
      <c r="X1334" t="b">
        <v>1</v>
      </c>
    </row>
    <row r="1335" spans="1:24" x14ac:dyDescent="0.25">
      <c r="A1335">
        <v>1373</v>
      </c>
      <c r="B1335" t="s">
        <v>2797</v>
      </c>
      <c r="C1335">
        <v>6</v>
      </c>
      <c r="D1335">
        <v>50</v>
      </c>
      <c r="E1335">
        <v>99</v>
      </c>
      <c r="F1335">
        <v>2</v>
      </c>
      <c r="G1335">
        <v>4</v>
      </c>
      <c r="H1335">
        <v>5</v>
      </c>
      <c r="I1335">
        <v>6</v>
      </c>
      <c r="J1335">
        <v>856</v>
      </c>
      <c r="K1335">
        <v>2140</v>
      </c>
      <c r="L1335">
        <v>1</v>
      </c>
      <c r="M1335">
        <v>1119</v>
      </c>
      <c r="N1335">
        <v>2014</v>
      </c>
      <c r="O1335">
        <v>1</v>
      </c>
      <c r="P1335">
        <v>230</v>
      </c>
      <c r="Q1335">
        <v>414</v>
      </c>
      <c r="R1335">
        <v>1</v>
      </c>
      <c r="S1335">
        <v>5000000</v>
      </c>
      <c r="T1335" t="s">
        <v>2795</v>
      </c>
      <c r="U1335" t="s">
        <v>2796</v>
      </c>
      <c r="V1335" t="s">
        <v>2798</v>
      </c>
      <c r="W1335">
        <v>2100</v>
      </c>
      <c r="X1335" t="b">
        <v>1</v>
      </c>
    </row>
    <row r="1336" spans="1:24" x14ac:dyDescent="0.25">
      <c r="A1336">
        <v>1374</v>
      </c>
      <c r="B1336" t="s">
        <v>2799</v>
      </c>
      <c r="C1336">
        <v>6</v>
      </c>
      <c r="D1336">
        <v>40</v>
      </c>
      <c r="E1336">
        <v>50</v>
      </c>
      <c r="F1336">
        <v>3</v>
      </c>
      <c r="G1336" t="s">
        <v>112</v>
      </c>
      <c r="H1336">
        <v>5</v>
      </c>
      <c r="I1336">
        <v>3</v>
      </c>
      <c r="J1336">
        <v>534</v>
      </c>
      <c r="K1336">
        <v>1282</v>
      </c>
      <c r="L1336">
        <v>1</v>
      </c>
      <c r="M1336">
        <v>501</v>
      </c>
      <c r="N1336">
        <v>852</v>
      </c>
      <c r="O1336">
        <v>1</v>
      </c>
      <c r="P1336">
        <v>258</v>
      </c>
      <c r="Q1336">
        <v>439</v>
      </c>
      <c r="R1336">
        <v>1</v>
      </c>
      <c r="S1336">
        <v>5000000</v>
      </c>
      <c r="T1336" t="s">
        <v>2800</v>
      </c>
      <c r="U1336" t="s">
        <v>2801</v>
      </c>
      <c r="W1336">
        <v>1725</v>
      </c>
      <c r="X1336" t="b">
        <v>1</v>
      </c>
    </row>
    <row r="1337" spans="1:24" x14ac:dyDescent="0.25">
      <c r="A1337">
        <v>1375</v>
      </c>
      <c r="B1337" t="s">
        <v>2802</v>
      </c>
      <c r="C1337">
        <v>7</v>
      </c>
      <c r="D1337">
        <v>60</v>
      </c>
      <c r="E1337">
        <v>99</v>
      </c>
      <c r="F1337">
        <v>3</v>
      </c>
      <c r="G1337">
        <v>1</v>
      </c>
      <c r="H1337">
        <v>5</v>
      </c>
      <c r="I1337">
        <v>3</v>
      </c>
      <c r="J1337">
        <v>1026</v>
      </c>
      <c r="K1337">
        <v>2565</v>
      </c>
      <c r="L1337">
        <v>1</v>
      </c>
      <c r="M1337">
        <v>767</v>
      </c>
      <c r="N1337">
        <v>1381</v>
      </c>
      <c r="O1337">
        <v>1</v>
      </c>
      <c r="P1337">
        <v>395</v>
      </c>
      <c r="Q1337">
        <v>711</v>
      </c>
      <c r="R1337">
        <v>1</v>
      </c>
      <c r="S1337">
        <v>5000000</v>
      </c>
      <c r="T1337" t="s">
        <v>2800</v>
      </c>
      <c r="U1337" t="s">
        <v>2801</v>
      </c>
      <c r="V1337" t="s">
        <v>2803</v>
      </c>
      <c r="W1337">
        <v>2512.5</v>
      </c>
      <c r="X1337" t="b">
        <v>1</v>
      </c>
    </row>
    <row r="1338" spans="1:24" x14ac:dyDescent="0.25">
      <c r="A1338">
        <v>1376</v>
      </c>
      <c r="B1338" t="s">
        <v>2804</v>
      </c>
      <c r="C1338">
        <v>4</v>
      </c>
      <c r="D1338">
        <v>10</v>
      </c>
      <c r="E1338">
        <v>30</v>
      </c>
      <c r="F1338">
        <v>4</v>
      </c>
      <c r="G1338" t="s">
        <v>112</v>
      </c>
      <c r="H1338">
        <v>7</v>
      </c>
      <c r="I1338">
        <v>4</v>
      </c>
      <c r="J1338">
        <v>369</v>
      </c>
      <c r="K1338">
        <v>923</v>
      </c>
      <c r="L1338">
        <v>1</v>
      </c>
      <c r="M1338">
        <v>144</v>
      </c>
      <c r="N1338">
        <v>360</v>
      </c>
      <c r="O1338">
        <v>1</v>
      </c>
      <c r="P1338">
        <v>0</v>
      </c>
      <c r="Q1338">
        <v>0</v>
      </c>
      <c r="R1338">
        <v>1</v>
      </c>
      <c r="S1338">
        <v>1500000</v>
      </c>
      <c r="T1338" t="s">
        <v>2805</v>
      </c>
      <c r="U1338" t="s">
        <v>2806</v>
      </c>
      <c r="W1338">
        <v>525</v>
      </c>
      <c r="X1338" t="b">
        <v>1</v>
      </c>
    </row>
    <row r="1339" spans="1:24" x14ac:dyDescent="0.25">
      <c r="A1339">
        <v>1377</v>
      </c>
      <c r="B1339" t="s">
        <v>2807</v>
      </c>
      <c r="C1339">
        <v>5</v>
      </c>
      <c r="D1339">
        <v>20</v>
      </c>
      <c r="E1339">
        <v>50</v>
      </c>
      <c r="F1339">
        <v>4</v>
      </c>
      <c r="G1339" t="s">
        <v>112</v>
      </c>
      <c r="H1339">
        <v>7</v>
      </c>
      <c r="I1339">
        <v>4</v>
      </c>
      <c r="J1339">
        <v>738</v>
      </c>
      <c r="K1339">
        <v>1845</v>
      </c>
      <c r="L1339">
        <v>1</v>
      </c>
      <c r="M1339">
        <v>324</v>
      </c>
      <c r="N1339">
        <v>810</v>
      </c>
      <c r="O1339">
        <v>1</v>
      </c>
      <c r="P1339">
        <v>0</v>
      </c>
      <c r="Q1339">
        <v>0</v>
      </c>
      <c r="R1339">
        <v>1</v>
      </c>
      <c r="S1339">
        <v>2000000</v>
      </c>
      <c r="T1339" t="s">
        <v>2808</v>
      </c>
      <c r="U1339" t="s">
        <v>2806</v>
      </c>
      <c r="W1339">
        <v>937.5</v>
      </c>
      <c r="X1339" t="b">
        <v>1</v>
      </c>
    </row>
    <row r="1340" spans="1:24" x14ac:dyDescent="0.25">
      <c r="A1340">
        <v>1378</v>
      </c>
      <c r="B1340" t="s">
        <v>2809</v>
      </c>
      <c r="C1340">
        <v>6</v>
      </c>
      <c r="D1340">
        <v>30</v>
      </c>
      <c r="E1340">
        <v>70</v>
      </c>
      <c r="F1340">
        <v>4</v>
      </c>
      <c r="G1340" t="s">
        <v>112</v>
      </c>
      <c r="H1340">
        <v>7</v>
      </c>
      <c r="I1340">
        <v>4</v>
      </c>
      <c r="J1340">
        <v>1476</v>
      </c>
      <c r="K1340">
        <v>2952</v>
      </c>
      <c r="L1340">
        <v>1</v>
      </c>
      <c r="M1340">
        <v>729</v>
      </c>
      <c r="N1340">
        <v>1308</v>
      </c>
      <c r="O1340">
        <v>1</v>
      </c>
      <c r="P1340">
        <v>0</v>
      </c>
      <c r="Q1340">
        <v>0</v>
      </c>
      <c r="R1340">
        <v>1</v>
      </c>
      <c r="S1340">
        <v>3000000</v>
      </c>
      <c r="T1340" t="s">
        <v>2810</v>
      </c>
      <c r="U1340" t="s">
        <v>2806</v>
      </c>
      <c r="W1340">
        <v>1350</v>
      </c>
      <c r="X1340" t="b">
        <v>1</v>
      </c>
    </row>
    <row r="1341" spans="1:24" x14ac:dyDescent="0.25">
      <c r="A1341">
        <v>1379</v>
      </c>
      <c r="B1341" t="s">
        <v>2811</v>
      </c>
      <c r="C1341">
        <v>7</v>
      </c>
      <c r="D1341">
        <v>40</v>
      </c>
      <c r="E1341">
        <v>99</v>
      </c>
      <c r="F1341">
        <v>4</v>
      </c>
      <c r="G1341">
        <v>4</v>
      </c>
      <c r="H1341">
        <v>7</v>
      </c>
      <c r="I1341">
        <v>4</v>
      </c>
      <c r="J1341">
        <v>2362</v>
      </c>
      <c r="K1341">
        <v>3543</v>
      </c>
      <c r="L1341">
        <v>1</v>
      </c>
      <c r="M1341">
        <v>1177</v>
      </c>
      <c r="N1341">
        <v>1818</v>
      </c>
      <c r="O1341">
        <v>1</v>
      </c>
      <c r="P1341">
        <v>0</v>
      </c>
      <c r="Q1341">
        <v>0</v>
      </c>
      <c r="R1341">
        <v>1</v>
      </c>
      <c r="S1341">
        <v>5000000</v>
      </c>
      <c r="T1341" t="s">
        <v>2812</v>
      </c>
      <c r="U1341" t="s">
        <v>2806</v>
      </c>
      <c r="V1341" t="s">
        <v>2403</v>
      </c>
      <c r="W1341">
        <v>1762.5</v>
      </c>
      <c r="X1341" t="b">
        <v>1</v>
      </c>
    </row>
    <row r="1342" spans="1:24" x14ac:dyDescent="0.25">
      <c r="A1342">
        <v>1380</v>
      </c>
      <c r="B1342" t="s">
        <v>2813</v>
      </c>
      <c r="C1342">
        <v>4</v>
      </c>
      <c r="D1342">
        <v>10</v>
      </c>
      <c r="E1342">
        <v>50</v>
      </c>
      <c r="F1342">
        <v>4</v>
      </c>
      <c r="G1342" t="s">
        <v>112</v>
      </c>
      <c r="H1342">
        <v>2</v>
      </c>
      <c r="I1342">
        <v>4</v>
      </c>
      <c r="J1342">
        <v>329</v>
      </c>
      <c r="K1342">
        <v>1481</v>
      </c>
      <c r="L1342">
        <v>1</v>
      </c>
      <c r="M1342">
        <v>125</v>
      </c>
      <c r="N1342">
        <v>563</v>
      </c>
      <c r="O1342">
        <v>1</v>
      </c>
      <c r="P1342">
        <v>38</v>
      </c>
      <c r="Q1342">
        <v>80</v>
      </c>
      <c r="R1342">
        <v>1</v>
      </c>
      <c r="S1342">
        <v>1500000</v>
      </c>
      <c r="T1342" t="s">
        <v>2814</v>
      </c>
      <c r="U1342" t="s">
        <v>2815</v>
      </c>
      <c r="W1342">
        <v>525</v>
      </c>
      <c r="X1342" t="b">
        <v>1</v>
      </c>
    </row>
    <row r="1343" spans="1:24" x14ac:dyDescent="0.25">
      <c r="A1343">
        <v>1381</v>
      </c>
      <c r="B1343" t="s">
        <v>2816</v>
      </c>
      <c r="C1343">
        <v>5</v>
      </c>
      <c r="D1343">
        <v>20</v>
      </c>
      <c r="E1343">
        <v>99</v>
      </c>
      <c r="F1343">
        <v>4</v>
      </c>
      <c r="G1343">
        <v>4</v>
      </c>
      <c r="H1343">
        <v>2</v>
      </c>
      <c r="I1343">
        <v>4</v>
      </c>
      <c r="J1343">
        <v>1185</v>
      </c>
      <c r="K1343">
        <v>2963</v>
      </c>
      <c r="L1343">
        <v>1</v>
      </c>
      <c r="M1343">
        <v>507</v>
      </c>
      <c r="N1343">
        <v>1268</v>
      </c>
      <c r="O1343">
        <v>1</v>
      </c>
      <c r="P1343">
        <v>72</v>
      </c>
      <c r="Q1343">
        <v>151</v>
      </c>
      <c r="R1343">
        <v>1</v>
      </c>
      <c r="S1343">
        <v>3500000</v>
      </c>
      <c r="T1343" t="s">
        <v>2817</v>
      </c>
      <c r="U1343" t="s">
        <v>2815</v>
      </c>
      <c r="V1343" t="s">
        <v>2241</v>
      </c>
      <c r="W1343">
        <v>937.5</v>
      </c>
      <c r="X1343" t="b">
        <v>1</v>
      </c>
    </row>
    <row r="1344" spans="1:24" x14ac:dyDescent="0.25">
      <c r="A1344">
        <v>1382</v>
      </c>
      <c r="B1344" t="s">
        <v>2818</v>
      </c>
      <c r="C1344">
        <v>3</v>
      </c>
      <c r="D1344">
        <v>8</v>
      </c>
      <c r="E1344">
        <v>35</v>
      </c>
      <c r="F1344">
        <v>3</v>
      </c>
      <c r="G1344" t="s">
        <v>112</v>
      </c>
      <c r="H1344">
        <v>2</v>
      </c>
      <c r="I1344">
        <v>4</v>
      </c>
      <c r="J1344">
        <v>340</v>
      </c>
      <c r="K1344">
        <v>1530</v>
      </c>
      <c r="L1344">
        <v>1</v>
      </c>
      <c r="M1344">
        <v>125</v>
      </c>
      <c r="N1344">
        <v>563</v>
      </c>
      <c r="O1344">
        <v>1</v>
      </c>
      <c r="P1344">
        <v>0</v>
      </c>
      <c r="Q1344">
        <v>0</v>
      </c>
      <c r="R1344">
        <v>1</v>
      </c>
      <c r="S1344">
        <v>1500000</v>
      </c>
      <c r="T1344" t="s">
        <v>2819</v>
      </c>
      <c r="U1344" t="s">
        <v>112</v>
      </c>
      <c r="W1344">
        <v>412.5</v>
      </c>
      <c r="X1344" t="b">
        <v>1</v>
      </c>
    </row>
    <row r="1345" spans="1:24" x14ac:dyDescent="0.25">
      <c r="A1345">
        <v>1383</v>
      </c>
      <c r="B1345" t="s">
        <v>2820</v>
      </c>
      <c r="C1345">
        <v>4</v>
      </c>
      <c r="D1345">
        <v>12</v>
      </c>
      <c r="E1345">
        <v>70</v>
      </c>
      <c r="F1345">
        <v>3</v>
      </c>
      <c r="G1345" t="s">
        <v>112</v>
      </c>
      <c r="H1345">
        <v>2</v>
      </c>
      <c r="I1345">
        <v>4</v>
      </c>
      <c r="J1345">
        <v>1224</v>
      </c>
      <c r="K1345">
        <v>3060</v>
      </c>
      <c r="L1345">
        <v>1</v>
      </c>
      <c r="M1345">
        <v>507</v>
      </c>
      <c r="N1345">
        <v>1268</v>
      </c>
      <c r="O1345">
        <v>1</v>
      </c>
      <c r="P1345">
        <v>0</v>
      </c>
      <c r="Q1345">
        <v>0</v>
      </c>
      <c r="R1345">
        <v>1</v>
      </c>
      <c r="S1345">
        <v>3000000</v>
      </c>
      <c r="T1345" t="s">
        <v>2821</v>
      </c>
      <c r="U1345" t="s">
        <v>2822</v>
      </c>
      <c r="V1345" t="s">
        <v>2823</v>
      </c>
      <c r="W1345">
        <v>600</v>
      </c>
      <c r="X1345" t="b">
        <v>1</v>
      </c>
    </row>
    <row r="1346" spans="1:24" x14ac:dyDescent="0.25">
      <c r="A1346">
        <v>1384</v>
      </c>
      <c r="B1346" t="s">
        <v>2824</v>
      </c>
      <c r="C1346">
        <v>3</v>
      </c>
      <c r="D1346">
        <v>8</v>
      </c>
      <c r="E1346">
        <v>35</v>
      </c>
      <c r="F1346">
        <v>1</v>
      </c>
      <c r="G1346" t="s">
        <v>112</v>
      </c>
      <c r="H1346">
        <v>6</v>
      </c>
      <c r="I1346">
        <v>4</v>
      </c>
      <c r="J1346">
        <v>244</v>
      </c>
      <c r="K1346">
        <v>1098</v>
      </c>
      <c r="L1346">
        <v>1</v>
      </c>
      <c r="M1346">
        <v>130</v>
      </c>
      <c r="N1346">
        <v>585</v>
      </c>
      <c r="O1346">
        <v>1</v>
      </c>
      <c r="P1346">
        <v>57</v>
      </c>
      <c r="Q1346">
        <v>120</v>
      </c>
      <c r="R1346">
        <v>1</v>
      </c>
      <c r="S1346">
        <v>1500000</v>
      </c>
      <c r="T1346" t="s">
        <v>2825</v>
      </c>
      <c r="U1346" t="s">
        <v>112</v>
      </c>
      <c r="W1346">
        <v>412.5</v>
      </c>
      <c r="X1346" t="b">
        <v>1</v>
      </c>
    </row>
    <row r="1347" spans="1:24" x14ac:dyDescent="0.25">
      <c r="A1347">
        <v>1385</v>
      </c>
      <c r="B1347" t="s">
        <v>2826</v>
      </c>
      <c r="C1347">
        <v>4</v>
      </c>
      <c r="D1347">
        <v>12</v>
      </c>
      <c r="E1347">
        <v>70</v>
      </c>
      <c r="F1347">
        <v>1</v>
      </c>
      <c r="G1347" t="s">
        <v>112</v>
      </c>
      <c r="H1347">
        <v>6</v>
      </c>
      <c r="I1347">
        <v>4</v>
      </c>
      <c r="J1347">
        <v>878</v>
      </c>
      <c r="K1347">
        <v>2195</v>
      </c>
      <c r="L1347">
        <v>1</v>
      </c>
      <c r="M1347">
        <v>527</v>
      </c>
      <c r="N1347">
        <v>1318</v>
      </c>
      <c r="O1347">
        <v>1</v>
      </c>
      <c r="P1347">
        <v>108</v>
      </c>
      <c r="Q1347">
        <v>227</v>
      </c>
      <c r="R1347">
        <v>1</v>
      </c>
      <c r="S1347">
        <v>3000000</v>
      </c>
      <c r="T1347" t="s">
        <v>2827</v>
      </c>
      <c r="U1347" t="s">
        <v>2828</v>
      </c>
      <c r="V1347" t="s">
        <v>2829</v>
      </c>
      <c r="W1347">
        <v>600</v>
      </c>
      <c r="X1347" t="b">
        <v>1</v>
      </c>
    </row>
    <row r="1348" spans="1:24" x14ac:dyDescent="0.25">
      <c r="A1348">
        <v>1386</v>
      </c>
      <c r="B1348" t="s">
        <v>2830</v>
      </c>
      <c r="C1348">
        <v>3</v>
      </c>
      <c r="D1348">
        <v>8</v>
      </c>
      <c r="E1348">
        <v>35</v>
      </c>
      <c r="F1348">
        <v>0</v>
      </c>
      <c r="G1348" t="s">
        <v>112</v>
      </c>
      <c r="H1348">
        <v>1</v>
      </c>
      <c r="I1348">
        <v>4</v>
      </c>
      <c r="J1348">
        <v>275</v>
      </c>
      <c r="K1348">
        <v>1238</v>
      </c>
      <c r="L1348">
        <v>1</v>
      </c>
      <c r="M1348">
        <v>112</v>
      </c>
      <c r="N1348">
        <v>504</v>
      </c>
      <c r="O1348">
        <v>1</v>
      </c>
      <c r="P1348">
        <v>64</v>
      </c>
      <c r="Q1348">
        <v>134</v>
      </c>
      <c r="R1348">
        <v>1</v>
      </c>
      <c r="S1348">
        <v>1500000</v>
      </c>
      <c r="T1348" t="s">
        <v>2831</v>
      </c>
      <c r="U1348" t="s">
        <v>112</v>
      </c>
      <c r="W1348">
        <v>412.5</v>
      </c>
      <c r="X1348" t="b">
        <v>1</v>
      </c>
    </row>
    <row r="1349" spans="1:24" x14ac:dyDescent="0.25">
      <c r="A1349">
        <v>1387</v>
      </c>
      <c r="B1349" t="s">
        <v>2832</v>
      </c>
      <c r="C1349">
        <v>4</v>
      </c>
      <c r="D1349">
        <v>12</v>
      </c>
      <c r="E1349">
        <v>70</v>
      </c>
      <c r="F1349">
        <v>0</v>
      </c>
      <c r="G1349" t="s">
        <v>112</v>
      </c>
      <c r="H1349">
        <v>1</v>
      </c>
      <c r="I1349">
        <v>4</v>
      </c>
      <c r="J1349">
        <v>990</v>
      </c>
      <c r="K1349">
        <v>2475</v>
      </c>
      <c r="L1349">
        <v>1</v>
      </c>
      <c r="M1349">
        <v>454</v>
      </c>
      <c r="N1349">
        <v>1135</v>
      </c>
      <c r="O1349">
        <v>1</v>
      </c>
      <c r="P1349">
        <v>121</v>
      </c>
      <c r="Q1349">
        <v>254</v>
      </c>
      <c r="R1349">
        <v>1</v>
      </c>
      <c r="S1349">
        <v>3000000</v>
      </c>
      <c r="T1349" t="s">
        <v>2833</v>
      </c>
      <c r="U1349" t="s">
        <v>2834</v>
      </c>
      <c r="V1349" t="s">
        <v>2416</v>
      </c>
      <c r="W1349">
        <v>600</v>
      </c>
      <c r="X1349" t="b">
        <v>1</v>
      </c>
    </row>
    <row r="1350" spans="1:24" x14ac:dyDescent="0.25">
      <c r="A1350">
        <v>1388</v>
      </c>
      <c r="B1350" t="s">
        <v>2835</v>
      </c>
      <c r="C1350">
        <v>3</v>
      </c>
      <c r="D1350">
        <v>8</v>
      </c>
      <c r="E1350">
        <v>35</v>
      </c>
      <c r="F1350">
        <v>2</v>
      </c>
      <c r="G1350" t="s">
        <v>112</v>
      </c>
      <c r="H1350">
        <v>1</v>
      </c>
      <c r="I1350">
        <v>4</v>
      </c>
      <c r="J1350">
        <v>246</v>
      </c>
      <c r="K1350">
        <v>1107</v>
      </c>
      <c r="L1350">
        <v>1</v>
      </c>
      <c r="M1350">
        <v>102</v>
      </c>
      <c r="N1350">
        <v>459</v>
      </c>
      <c r="O1350">
        <v>1</v>
      </c>
      <c r="P1350">
        <v>54</v>
      </c>
      <c r="Q1350">
        <v>113</v>
      </c>
      <c r="R1350">
        <v>1</v>
      </c>
      <c r="S1350">
        <v>1500000</v>
      </c>
      <c r="T1350" t="s">
        <v>2836</v>
      </c>
      <c r="U1350" t="s">
        <v>112</v>
      </c>
      <c r="W1350">
        <v>412.5</v>
      </c>
      <c r="X1350" t="b">
        <v>1</v>
      </c>
    </row>
    <row r="1351" spans="1:24" x14ac:dyDescent="0.25">
      <c r="A1351">
        <v>1389</v>
      </c>
      <c r="B1351" t="s">
        <v>2837</v>
      </c>
      <c r="C1351">
        <v>4</v>
      </c>
      <c r="D1351">
        <v>12</v>
      </c>
      <c r="E1351">
        <v>70</v>
      </c>
      <c r="F1351">
        <v>2</v>
      </c>
      <c r="G1351" t="s">
        <v>112</v>
      </c>
      <c r="H1351">
        <v>1</v>
      </c>
      <c r="I1351">
        <v>4</v>
      </c>
      <c r="J1351">
        <v>886</v>
      </c>
      <c r="K1351">
        <v>2215</v>
      </c>
      <c r="L1351">
        <v>1</v>
      </c>
      <c r="M1351">
        <v>413</v>
      </c>
      <c r="N1351">
        <v>1033</v>
      </c>
      <c r="O1351">
        <v>1</v>
      </c>
      <c r="P1351">
        <v>102</v>
      </c>
      <c r="Q1351">
        <v>214</v>
      </c>
      <c r="R1351">
        <v>1</v>
      </c>
      <c r="S1351">
        <v>3000000</v>
      </c>
      <c r="T1351" t="s">
        <v>2838</v>
      </c>
      <c r="U1351" t="s">
        <v>2839</v>
      </c>
      <c r="V1351" t="s">
        <v>2840</v>
      </c>
      <c r="W1351">
        <v>600</v>
      </c>
      <c r="X1351" t="b">
        <v>1</v>
      </c>
    </row>
    <row r="1352" spans="1:24" x14ac:dyDescent="0.25">
      <c r="A1352">
        <v>1390</v>
      </c>
      <c r="B1352" t="s">
        <v>2841</v>
      </c>
      <c r="C1352">
        <v>4</v>
      </c>
      <c r="D1352">
        <v>10</v>
      </c>
      <c r="E1352">
        <v>35</v>
      </c>
      <c r="F1352">
        <v>4</v>
      </c>
      <c r="G1352" t="s">
        <v>112</v>
      </c>
      <c r="H1352">
        <v>1</v>
      </c>
      <c r="I1352">
        <v>4</v>
      </c>
      <c r="J1352">
        <v>290</v>
      </c>
      <c r="K1352">
        <v>1305</v>
      </c>
      <c r="L1352">
        <v>1</v>
      </c>
      <c r="M1352">
        <v>122</v>
      </c>
      <c r="N1352">
        <v>549</v>
      </c>
      <c r="O1352">
        <v>1</v>
      </c>
      <c r="P1352">
        <v>74</v>
      </c>
      <c r="Q1352">
        <v>155</v>
      </c>
      <c r="R1352">
        <v>1</v>
      </c>
      <c r="S1352">
        <v>1500000</v>
      </c>
      <c r="T1352" t="s">
        <v>112</v>
      </c>
      <c r="U1352" t="s">
        <v>112</v>
      </c>
      <c r="W1352">
        <v>525</v>
      </c>
      <c r="X1352" t="b">
        <v>1</v>
      </c>
    </row>
    <row r="1353" spans="1:24" x14ac:dyDescent="0.25">
      <c r="A1353">
        <v>1391</v>
      </c>
      <c r="B1353" t="s">
        <v>2842</v>
      </c>
      <c r="C1353">
        <v>5</v>
      </c>
      <c r="D1353">
        <v>15</v>
      </c>
      <c r="E1353">
        <v>99</v>
      </c>
      <c r="F1353">
        <v>4</v>
      </c>
      <c r="G1353">
        <v>4</v>
      </c>
      <c r="H1353">
        <v>1</v>
      </c>
      <c r="I1353">
        <v>4</v>
      </c>
      <c r="J1353">
        <v>1044</v>
      </c>
      <c r="K1353">
        <v>2610</v>
      </c>
      <c r="L1353">
        <v>1</v>
      </c>
      <c r="M1353">
        <v>494</v>
      </c>
      <c r="N1353">
        <v>1235</v>
      </c>
      <c r="O1353">
        <v>1</v>
      </c>
      <c r="P1353">
        <v>140</v>
      </c>
      <c r="Q1353">
        <v>294</v>
      </c>
      <c r="R1353">
        <v>1</v>
      </c>
      <c r="S1353">
        <v>3500000</v>
      </c>
      <c r="T1353" t="s">
        <v>2843</v>
      </c>
      <c r="U1353" t="s">
        <v>2844</v>
      </c>
      <c r="V1353" t="s">
        <v>2845</v>
      </c>
      <c r="W1353">
        <v>750</v>
      </c>
      <c r="X1353" t="b">
        <v>1</v>
      </c>
    </row>
    <row r="1354" spans="1:24" x14ac:dyDescent="0.25">
      <c r="A1354">
        <v>1392</v>
      </c>
      <c r="B1354" t="s">
        <v>2846</v>
      </c>
      <c r="C1354">
        <v>3</v>
      </c>
      <c r="D1354">
        <v>10</v>
      </c>
      <c r="E1354">
        <v>50</v>
      </c>
      <c r="F1354">
        <v>2</v>
      </c>
      <c r="G1354" t="s">
        <v>112</v>
      </c>
      <c r="H1354">
        <v>6</v>
      </c>
      <c r="I1354">
        <v>4</v>
      </c>
      <c r="J1354">
        <v>112</v>
      </c>
      <c r="K1354">
        <v>714</v>
      </c>
      <c r="L1354">
        <v>1</v>
      </c>
      <c r="M1354">
        <v>89</v>
      </c>
      <c r="N1354">
        <v>888</v>
      </c>
      <c r="O1354">
        <v>1</v>
      </c>
      <c r="P1354">
        <v>11</v>
      </c>
      <c r="Q1354">
        <v>32</v>
      </c>
      <c r="R1354">
        <v>1</v>
      </c>
      <c r="S1354">
        <v>1500000</v>
      </c>
      <c r="T1354" t="s">
        <v>112</v>
      </c>
      <c r="U1354" t="s">
        <v>2847</v>
      </c>
      <c r="W1354">
        <v>487.5</v>
      </c>
      <c r="X1354" t="b">
        <v>1</v>
      </c>
    </row>
    <row r="1355" spans="1:24" x14ac:dyDescent="0.25">
      <c r="A1355">
        <v>1393</v>
      </c>
      <c r="B1355" t="s">
        <v>2848</v>
      </c>
      <c r="C1355">
        <v>3</v>
      </c>
      <c r="D1355">
        <v>10</v>
      </c>
      <c r="E1355">
        <v>1</v>
      </c>
      <c r="F1355">
        <v>3</v>
      </c>
      <c r="G1355" t="s">
        <v>112</v>
      </c>
      <c r="H1355">
        <v>14</v>
      </c>
      <c r="I1355">
        <v>4</v>
      </c>
      <c r="J1355">
        <v>120</v>
      </c>
      <c r="K1355">
        <v>120</v>
      </c>
      <c r="L1355">
        <v>1</v>
      </c>
      <c r="M1355">
        <v>100</v>
      </c>
      <c r="N1355">
        <v>100</v>
      </c>
      <c r="O1355">
        <v>1</v>
      </c>
      <c r="P1355">
        <v>80</v>
      </c>
      <c r="Q1355">
        <v>80</v>
      </c>
      <c r="R1355">
        <v>1</v>
      </c>
      <c r="S1355">
        <v>1500000</v>
      </c>
      <c r="T1355" t="s">
        <v>112</v>
      </c>
      <c r="U1355" t="s">
        <v>2849</v>
      </c>
      <c r="W1355">
        <v>10000</v>
      </c>
      <c r="X1355" t="b">
        <v>1</v>
      </c>
    </row>
    <row r="1356" spans="1:24" x14ac:dyDescent="0.25">
      <c r="A1356">
        <v>1394</v>
      </c>
      <c r="B1356" t="s">
        <v>2850</v>
      </c>
      <c r="C1356">
        <v>5</v>
      </c>
      <c r="D1356">
        <v>14</v>
      </c>
      <c r="E1356">
        <v>50</v>
      </c>
      <c r="F1356">
        <v>0</v>
      </c>
      <c r="G1356" t="s">
        <v>112</v>
      </c>
      <c r="H1356">
        <v>2</v>
      </c>
      <c r="I1356">
        <v>4</v>
      </c>
      <c r="J1356">
        <v>783</v>
      </c>
      <c r="K1356">
        <v>1879</v>
      </c>
      <c r="L1356">
        <v>1</v>
      </c>
      <c r="M1356">
        <v>477</v>
      </c>
      <c r="N1356">
        <v>811</v>
      </c>
      <c r="O1356">
        <v>1</v>
      </c>
      <c r="P1356">
        <v>55</v>
      </c>
      <c r="Q1356">
        <v>94</v>
      </c>
      <c r="R1356">
        <v>1</v>
      </c>
      <c r="S1356">
        <v>4000000</v>
      </c>
      <c r="T1356" t="s">
        <v>2851</v>
      </c>
      <c r="U1356" t="s">
        <v>2852</v>
      </c>
      <c r="W1356">
        <v>712.5</v>
      </c>
      <c r="X1356" t="b">
        <v>1</v>
      </c>
    </row>
    <row r="1357" spans="1:24" x14ac:dyDescent="0.25">
      <c r="A1357">
        <v>1395</v>
      </c>
      <c r="B1357" t="s">
        <v>2853</v>
      </c>
      <c r="C1357">
        <v>6</v>
      </c>
      <c r="D1357">
        <v>24</v>
      </c>
      <c r="E1357">
        <v>99</v>
      </c>
      <c r="F1357">
        <v>0</v>
      </c>
      <c r="G1357">
        <v>3</v>
      </c>
      <c r="H1357">
        <v>2</v>
      </c>
      <c r="I1357">
        <v>4</v>
      </c>
      <c r="J1357">
        <v>1503</v>
      </c>
      <c r="K1357">
        <v>3758</v>
      </c>
      <c r="L1357">
        <v>1</v>
      </c>
      <c r="M1357">
        <v>730</v>
      </c>
      <c r="N1357">
        <v>1314</v>
      </c>
      <c r="O1357">
        <v>1</v>
      </c>
      <c r="P1357">
        <v>85</v>
      </c>
      <c r="Q1357">
        <v>153</v>
      </c>
      <c r="R1357">
        <v>1</v>
      </c>
      <c r="S1357">
        <v>4000000</v>
      </c>
      <c r="T1357" t="s">
        <v>2851</v>
      </c>
      <c r="U1357" t="s">
        <v>2852</v>
      </c>
      <c r="V1357" t="s">
        <v>2854</v>
      </c>
      <c r="W1357">
        <v>1125</v>
      </c>
      <c r="X1357" t="b">
        <v>1</v>
      </c>
    </row>
    <row r="1358" spans="1:24" x14ac:dyDescent="0.25">
      <c r="A1358">
        <v>1396</v>
      </c>
      <c r="B1358" t="s">
        <v>2855</v>
      </c>
      <c r="C1358">
        <v>5</v>
      </c>
      <c r="D1358">
        <v>14</v>
      </c>
      <c r="E1358">
        <v>50</v>
      </c>
      <c r="F1358">
        <v>1</v>
      </c>
      <c r="G1358" t="s">
        <v>112</v>
      </c>
      <c r="H1358">
        <v>1</v>
      </c>
      <c r="I1358">
        <v>4</v>
      </c>
      <c r="J1358">
        <v>671</v>
      </c>
      <c r="K1358">
        <v>1610</v>
      </c>
      <c r="L1358">
        <v>1</v>
      </c>
      <c r="M1358">
        <v>510</v>
      </c>
      <c r="N1358">
        <v>867</v>
      </c>
      <c r="O1358">
        <v>1</v>
      </c>
      <c r="P1358">
        <v>106</v>
      </c>
      <c r="Q1358">
        <v>180</v>
      </c>
      <c r="R1358">
        <v>1</v>
      </c>
      <c r="S1358">
        <v>4000000</v>
      </c>
      <c r="T1358" t="s">
        <v>2856</v>
      </c>
      <c r="U1358" t="s">
        <v>2857</v>
      </c>
      <c r="W1358">
        <v>712.5</v>
      </c>
      <c r="X1358" t="b">
        <v>1</v>
      </c>
    </row>
    <row r="1359" spans="1:24" x14ac:dyDescent="0.25">
      <c r="A1359">
        <v>1397</v>
      </c>
      <c r="B1359" t="s">
        <v>2858</v>
      </c>
      <c r="C1359">
        <v>6</v>
      </c>
      <c r="D1359">
        <v>24</v>
      </c>
      <c r="E1359">
        <v>99</v>
      </c>
      <c r="F1359">
        <v>1</v>
      </c>
      <c r="G1359">
        <v>3</v>
      </c>
      <c r="H1359">
        <v>1</v>
      </c>
      <c r="I1359">
        <v>4</v>
      </c>
      <c r="J1359">
        <v>1288</v>
      </c>
      <c r="K1359">
        <v>3220</v>
      </c>
      <c r="L1359">
        <v>1</v>
      </c>
      <c r="M1359">
        <v>780</v>
      </c>
      <c r="N1359">
        <v>1404</v>
      </c>
      <c r="O1359">
        <v>1</v>
      </c>
      <c r="P1359">
        <v>162</v>
      </c>
      <c r="Q1359">
        <v>292</v>
      </c>
      <c r="R1359">
        <v>1</v>
      </c>
      <c r="S1359">
        <v>4000000</v>
      </c>
      <c r="T1359" t="s">
        <v>2856</v>
      </c>
      <c r="U1359" t="s">
        <v>2857</v>
      </c>
      <c r="V1359" t="s">
        <v>2859</v>
      </c>
      <c r="W1359">
        <v>1125</v>
      </c>
      <c r="X1359" t="b">
        <v>1</v>
      </c>
    </row>
    <row r="1360" spans="1:24" x14ac:dyDescent="0.25">
      <c r="A1360">
        <v>1398</v>
      </c>
      <c r="B1360" t="s">
        <v>2860</v>
      </c>
      <c r="C1360">
        <v>5</v>
      </c>
      <c r="D1360">
        <v>14</v>
      </c>
      <c r="E1360">
        <v>50</v>
      </c>
      <c r="F1360">
        <v>4</v>
      </c>
      <c r="G1360" t="s">
        <v>112</v>
      </c>
      <c r="H1360">
        <v>6</v>
      </c>
      <c r="I1360">
        <v>4</v>
      </c>
      <c r="J1360">
        <v>512</v>
      </c>
      <c r="K1360">
        <v>1229</v>
      </c>
      <c r="L1360">
        <v>1</v>
      </c>
      <c r="M1360">
        <v>677</v>
      </c>
      <c r="N1360">
        <v>1151</v>
      </c>
      <c r="O1360">
        <v>1</v>
      </c>
      <c r="P1360">
        <v>45</v>
      </c>
      <c r="Q1360">
        <v>77</v>
      </c>
      <c r="R1360">
        <v>1</v>
      </c>
      <c r="S1360">
        <v>4000000</v>
      </c>
      <c r="T1360" t="s">
        <v>2861</v>
      </c>
      <c r="U1360" t="s">
        <v>2862</v>
      </c>
      <c r="W1360">
        <v>712.5</v>
      </c>
      <c r="X1360" t="b">
        <v>1</v>
      </c>
    </row>
    <row r="1361" spans="1:24" x14ac:dyDescent="0.25">
      <c r="A1361">
        <v>1399</v>
      </c>
      <c r="B1361" t="s">
        <v>2863</v>
      </c>
      <c r="C1361">
        <v>6</v>
      </c>
      <c r="D1361">
        <v>24</v>
      </c>
      <c r="E1361">
        <v>99</v>
      </c>
      <c r="F1361">
        <v>4</v>
      </c>
      <c r="G1361">
        <v>3</v>
      </c>
      <c r="H1361">
        <v>6</v>
      </c>
      <c r="I1361">
        <v>4</v>
      </c>
      <c r="J1361">
        <v>983</v>
      </c>
      <c r="K1361">
        <v>2458</v>
      </c>
      <c r="L1361">
        <v>1</v>
      </c>
      <c r="M1361">
        <v>1036</v>
      </c>
      <c r="N1361">
        <v>1905</v>
      </c>
      <c r="O1361">
        <v>1</v>
      </c>
      <c r="P1361">
        <v>69</v>
      </c>
      <c r="Q1361">
        <v>164</v>
      </c>
      <c r="R1361">
        <v>1</v>
      </c>
      <c r="S1361">
        <v>4000000</v>
      </c>
      <c r="T1361" t="s">
        <v>2861</v>
      </c>
      <c r="U1361" t="s">
        <v>2862</v>
      </c>
      <c r="V1361" t="s">
        <v>2864</v>
      </c>
      <c r="W1361">
        <v>1125</v>
      </c>
      <c r="X1361" t="b">
        <v>1</v>
      </c>
    </row>
    <row r="1362" spans="1:24" x14ac:dyDescent="0.25">
      <c r="A1362">
        <v>1400</v>
      </c>
      <c r="B1362" t="s">
        <v>2865</v>
      </c>
      <c r="C1362">
        <v>5</v>
      </c>
      <c r="D1362">
        <v>14</v>
      </c>
      <c r="E1362">
        <v>50</v>
      </c>
      <c r="F1362">
        <v>1</v>
      </c>
      <c r="G1362" t="s">
        <v>112</v>
      </c>
      <c r="H1362">
        <v>6</v>
      </c>
      <c r="I1362">
        <v>4</v>
      </c>
      <c r="J1362">
        <v>535</v>
      </c>
      <c r="K1362">
        <v>1284</v>
      </c>
      <c r="L1362">
        <v>1</v>
      </c>
      <c r="M1362">
        <v>691</v>
      </c>
      <c r="N1362">
        <v>1175</v>
      </c>
      <c r="O1362">
        <v>1</v>
      </c>
      <c r="P1362">
        <v>24</v>
      </c>
      <c r="Q1362">
        <v>41</v>
      </c>
      <c r="R1362">
        <v>1</v>
      </c>
      <c r="S1362">
        <v>4000000</v>
      </c>
      <c r="T1362" t="s">
        <v>2866</v>
      </c>
      <c r="U1362" t="s">
        <v>2867</v>
      </c>
      <c r="W1362">
        <v>712.5</v>
      </c>
      <c r="X1362" t="b">
        <v>1</v>
      </c>
    </row>
    <row r="1363" spans="1:24" x14ac:dyDescent="0.25">
      <c r="A1363">
        <v>1401</v>
      </c>
      <c r="B1363" t="s">
        <v>2868</v>
      </c>
      <c r="C1363">
        <v>6</v>
      </c>
      <c r="D1363">
        <v>24</v>
      </c>
      <c r="E1363">
        <v>99</v>
      </c>
      <c r="F1363">
        <v>1</v>
      </c>
      <c r="G1363">
        <v>3</v>
      </c>
      <c r="H1363">
        <v>6</v>
      </c>
      <c r="I1363">
        <v>4</v>
      </c>
      <c r="J1363">
        <v>1027</v>
      </c>
      <c r="K1363">
        <v>2568</v>
      </c>
      <c r="L1363">
        <v>1</v>
      </c>
      <c r="M1363">
        <v>1058</v>
      </c>
      <c r="N1363">
        <v>1944</v>
      </c>
      <c r="O1363">
        <v>1</v>
      </c>
      <c r="P1363">
        <v>37</v>
      </c>
      <c r="Q1363">
        <v>117</v>
      </c>
      <c r="R1363">
        <v>1</v>
      </c>
      <c r="S1363">
        <v>4000000</v>
      </c>
      <c r="T1363" t="s">
        <v>2866</v>
      </c>
      <c r="U1363" t="s">
        <v>2867</v>
      </c>
      <c r="V1363" t="s">
        <v>2869</v>
      </c>
      <c r="W1363">
        <v>1125</v>
      </c>
      <c r="X1363" t="b">
        <v>1</v>
      </c>
    </row>
    <row r="1364" spans="1:24" x14ac:dyDescent="0.25">
      <c r="A1364">
        <v>1402</v>
      </c>
      <c r="B1364" t="s">
        <v>2870</v>
      </c>
      <c r="C1364">
        <v>4</v>
      </c>
      <c r="D1364">
        <v>10</v>
      </c>
      <c r="E1364">
        <v>50</v>
      </c>
      <c r="F1364">
        <v>2</v>
      </c>
      <c r="G1364" t="s">
        <v>112</v>
      </c>
      <c r="H1364">
        <v>7</v>
      </c>
      <c r="I1364">
        <v>4</v>
      </c>
      <c r="J1364">
        <v>563</v>
      </c>
      <c r="K1364">
        <v>1351</v>
      </c>
      <c r="L1364">
        <v>1</v>
      </c>
      <c r="M1364">
        <v>478</v>
      </c>
      <c r="N1364">
        <v>813</v>
      </c>
      <c r="O1364">
        <v>1</v>
      </c>
      <c r="P1364">
        <v>126</v>
      </c>
      <c r="Q1364">
        <v>214</v>
      </c>
      <c r="R1364">
        <v>1</v>
      </c>
      <c r="S1364">
        <v>3000000</v>
      </c>
      <c r="T1364" t="s">
        <v>2871</v>
      </c>
      <c r="U1364" t="s">
        <v>2872</v>
      </c>
      <c r="W1364">
        <v>525</v>
      </c>
      <c r="X1364" t="b">
        <v>1</v>
      </c>
    </row>
    <row r="1365" spans="1:24" x14ac:dyDescent="0.25">
      <c r="A1365">
        <v>1403</v>
      </c>
      <c r="B1365" t="s">
        <v>2873</v>
      </c>
      <c r="C1365">
        <v>5</v>
      </c>
      <c r="D1365">
        <v>20</v>
      </c>
      <c r="E1365">
        <v>99</v>
      </c>
      <c r="F1365">
        <v>2</v>
      </c>
      <c r="G1365">
        <v>4</v>
      </c>
      <c r="H1365">
        <v>7</v>
      </c>
      <c r="I1365">
        <v>4</v>
      </c>
      <c r="J1365">
        <v>1081</v>
      </c>
      <c r="K1365">
        <v>2703</v>
      </c>
      <c r="L1365">
        <v>1</v>
      </c>
      <c r="M1365">
        <v>732</v>
      </c>
      <c r="N1365">
        <v>1318</v>
      </c>
      <c r="O1365">
        <v>1</v>
      </c>
      <c r="P1365">
        <v>193</v>
      </c>
      <c r="Q1365">
        <v>347</v>
      </c>
      <c r="R1365">
        <v>1</v>
      </c>
      <c r="S1365">
        <v>3500000</v>
      </c>
      <c r="T1365" t="s">
        <v>2871</v>
      </c>
      <c r="U1365" t="s">
        <v>2872</v>
      </c>
      <c r="V1365" t="s">
        <v>2874</v>
      </c>
      <c r="W1365">
        <v>937.5</v>
      </c>
      <c r="X1365" t="b">
        <v>1</v>
      </c>
    </row>
    <row r="1366" spans="1:24" x14ac:dyDescent="0.25">
      <c r="A1366">
        <v>1404</v>
      </c>
      <c r="B1366" t="s">
        <v>2875</v>
      </c>
      <c r="C1366">
        <v>4</v>
      </c>
      <c r="D1366">
        <v>10</v>
      </c>
      <c r="E1366">
        <v>50</v>
      </c>
      <c r="F1366">
        <v>3</v>
      </c>
      <c r="G1366" t="s">
        <v>112</v>
      </c>
      <c r="H1366">
        <v>1</v>
      </c>
      <c r="I1366">
        <v>4</v>
      </c>
      <c r="J1366">
        <v>542</v>
      </c>
      <c r="K1366">
        <v>1301</v>
      </c>
      <c r="L1366">
        <v>1</v>
      </c>
      <c r="M1366">
        <v>459</v>
      </c>
      <c r="N1366">
        <v>780</v>
      </c>
      <c r="O1366">
        <v>1</v>
      </c>
      <c r="P1366">
        <v>138</v>
      </c>
      <c r="Q1366">
        <v>235</v>
      </c>
      <c r="R1366">
        <v>1</v>
      </c>
      <c r="S1366">
        <v>3000000</v>
      </c>
      <c r="T1366" t="s">
        <v>2876</v>
      </c>
      <c r="U1366" t="s">
        <v>2877</v>
      </c>
      <c r="W1366">
        <v>525</v>
      </c>
      <c r="X1366" t="b">
        <v>1</v>
      </c>
    </row>
    <row r="1367" spans="1:24" x14ac:dyDescent="0.25">
      <c r="A1367">
        <v>1405</v>
      </c>
      <c r="B1367" t="s">
        <v>2878</v>
      </c>
      <c r="C1367">
        <v>5</v>
      </c>
      <c r="D1367">
        <v>20</v>
      </c>
      <c r="E1367">
        <v>99</v>
      </c>
      <c r="F1367">
        <v>3</v>
      </c>
      <c r="G1367">
        <v>3</v>
      </c>
      <c r="H1367">
        <v>1</v>
      </c>
      <c r="I1367">
        <v>4</v>
      </c>
      <c r="J1367">
        <v>1041</v>
      </c>
      <c r="K1367">
        <v>2603</v>
      </c>
      <c r="L1367">
        <v>1</v>
      </c>
      <c r="M1367">
        <v>702</v>
      </c>
      <c r="N1367">
        <v>1264</v>
      </c>
      <c r="O1367">
        <v>1</v>
      </c>
      <c r="P1367">
        <v>212</v>
      </c>
      <c r="Q1367">
        <v>382</v>
      </c>
      <c r="R1367">
        <v>1</v>
      </c>
      <c r="S1367">
        <v>3000000</v>
      </c>
      <c r="T1367" t="s">
        <v>2876</v>
      </c>
      <c r="U1367" t="s">
        <v>2877</v>
      </c>
      <c r="V1367" t="s">
        <v>2879</v>
      </c>
      <c r="W1367">
        <v>937.5</v>
      </c>
      <c r="X1367" t="b">
        <v>1</v>
      </c>
    </row>
    <row r="1368" spans="1:24" x14ac:dyDescent="0.25">
      <c r="A1368">
        <v>1406</v>
      </c>
      <c r="B1368" t="s">
        <v>2880</v>
      </c>
      <c r="C1368">
        <v>4</v>
      </c>
      <c r="D1368">
        <v>10</v>
      </c>
      <c r="E1368">
        <v>50</v>
      </c>
      <c r="F1368">
        <v>0</v>
      </c>
      <c r="G1368" t="s">
        <v>112</v>
      </c>
      <c r="H1368">
        <v>1</v>
      </c>
      <c r="I1368">
        <v>4</v>
      </c>
      <c r="J1368">
        <v>537</v>
      </c>
      <c r="K1368">
        <v>1289</v>
      </c>
      <c r="L1368">
        <v>1</v>
      </c>
      <c r="M1368">
        <v>479</v>
      </c>
      <c r="N1368">
        <v>814</v>
      </c>
      <c r="O1368">
        <v>1</v>
      </c>
      <c r="P1368">
        <v>128</v>
      </c>
      <c r="Q1368">
        <v>218</v>
      </c>
      <c r="R1368">
        <v>1</v>
      </c>
      <c r="S1368">
        <v>3000000</v>
      </c>
      <c r="T1368" t="s">
        <v>2881</v>
      </c>
      <c r="U1368" t="s">
        <v>2882</v>
      </c>
      <c r="W1368">
        <v>525</v>
      </c>
      <c r="X1368" t="b">
        <v>1</v>
      </c>
    </row>
    <row r="1369" spans="1:24" x14ac:dyDescent="0.25">
      <c r="A1369">
        <v>1407</v>
      </c>
      <c r="B1369" t="s">
        <v>2883</v>
      </c>
      <c r="C1369">
        <v>5</v>
      </c>
      <c r="D1369">
        <v>20</v>
      </c>
      <c r="E1369">
        <v>99</v>
      </c>
      <c r="F1369">
        <v>0</v>
      </c>
      <c r="G1369">
        <v>0</v>
      </c>
      <c r="H1369">
        <v>1</v>
      </c>
      <c r="I1369">
        <v>4</v>
      </c>
      <c r="J1369">
        <v>1031</v>
      </c>
      <c r="K1369">
        <v>2578</v>
      </c>
      <c r="L1369">
        <v>1</v>
      </c>
      <c r="M1369">
        <v>733</v>
      </c>
      <c r="N1369">
        <v>1319</v>
      </c>
      <c r="O1369">
        <v>1</v>
      </c>
      <c r="P1369">
        <v>196</v>
      </c>
      <c r="Q1369">
        <v>353</v>
      </c>
      <c r="R1369">
        <v>1</v>
      </c>
      <c r="S1369">
        <v>3000000</v>
      </c>
      <c r="T1369" t="s">
        <v>2881</v>
      </c>
      <c r="U1369" t="s">
        <v>2882</v>
      </c>
      <c r="V1369" t="s">
        <v>2884</v>
      </c>
      <c r="W1369">
        <v>937.5</v>
      </c>
      <c r="X1369" t="b">
        <v>1</v>
      </c>
    </row>
    <row r="1370" spans="1:24" x14ac:dyDescent="0.25">
      <c r="A1370">
        <v>1408</v>
      </c>
      <c r="B1370" t="s">
        <v>2885</v>
      </c>
      <c r="C1370">
        <v>4</v>
      </c>
      <c r="D1370">
        <v>10</v>
      </c>
      <c r="E1370">
        <v>50</v>
      </c>
      <c r="F1370">
        <v>2</v>
      </c>
      <c r="G1370" t="s">
        <v>112</v>
      </c>
      <c r="H1370">
        <v>6</v>
      </c>
      <c r="I1370">
        <v>4</v>
      </c>
      <c r="J1370">
        <v>582</v>
      </c>
      <c r="K1370">
        <v>1397</v>
      </c>
      <c r="L1370">
        <v>1</v>
      </c>
      <c r="M1370">
        <v>515</v>
      </c>
      <c r="N1370">
        <v>876</v>
      </c>
      <c r="O1370">
        <v>1</v>
      </c>
      <c r="P1370">
        <v>83</v>
      </c>
      <c r="Q1370">
        <v>141</v>
      </c>
      <c r="R1370">
        <v>1</v>
      </c>
      <c r="S1370">
        <v>3000000</v>
      </c>
      <c r="T1370" t="s">
        <v>2886</v>
      </c>
      <c r="U1370" t="s">
        <v>2887</v>
      </c>
      <c r="W1370">
        <v>525</v>
      </c>
      <c r="X1370" t="b">
        <v>1</v>
      </c>
    </row>
    <row r="1371" spans="1:24" x14ac:dyDescent="0.25">
      <c r="A1371">
        <v>1409</v>
      </c>
      <c r="B1371" t="s">
        <v>2888</v>
      </c>
      <c r="C1371">
        <v>5</v>
      </c>
      <c r="D1371">
        <v>20</v>
      </c>
      <c r="E1371">
        <v>99</v>
      </c>
      <c r="F1371">
        <v>2</v>
      </c>
      <c r="G1371">
        <v>2</v>
      </c>
      <c r="H1371">
        <v>6</v>
      </c>
      <c r="I1371">
        <v>4</v>
      </c>
      <c r="J1371">
        <v>1118</v>
      </c>
      <c r="K1371">
        <v>2795</v>
      </c>
      <c r="L1371">
        <v>1</v>
      </c>
      <c r="M1371">
        <v>788</v>
      </c>
      <c r="N1371">
        <v>1418</v>
      </c>
      <c r="O1371">
        <v>1</v>
      </c>
      <c r="P1371">
        <v>127</v>
      </c>
      <c r="Q1371">
        <v>229</v>
      </c>
      <c r="R1371">
        <v>1</v>
      </c>
      <c r="S1371">
        <v>3000000</v>
      </c>
      <c r="T1371" t="s">
        <v>2886</v>
      </c>
      <c r="U1371" t="s">
        <v>2887</v>
      </c>
      <c r="V1371" t="s">
        <v>1050</v>
      </c>
      <c r="W1371">
        <v>937.5</v>
      </c>
      <c r="X1371" t="b">
        <v>1</v>
      </c>
    </row>
    <row r="1372" spans="1:24" x14ac:dyDescent="0.25">
      <c r="A1372">
        <v>1410</v>
      </c>
      <c r="B1372" t="s">
        <v>2889</v>
      </c>
      <c r="C1372">
        <v>4</v>
      </c>
      <c r="D1372">
        <v>10</v>
      </c>
      <c r="E1372">
        <v>50</v>
      </c>
      <c r="F1372">
        <v>4</v>
      </c>
      <c r="G1372" t="s">
        <v>112</v>
      </c>
      <c r="H1372">
        <v>1</v>
      </c>
      <c r="I1372">
        <v>4</v>
      </c>
      <c r="J1372">
        <v>525</v>
      </c>
      <c r="K1372">
        <v>1260</v>
      </c>
      <c r="L1372">
        <v>1</v>
      </c>
      <c r="M1372">
        <v>448</v>
      </c>
      <c r="N1372">
        <v>762</v>
      </c>
      <c r="O1372">
        <v>1</v>
      </c>
      <c r="P1372">
        <v>148</v>
      </c>
      <c r="Q1372">
        <v>252</v>
      </c>
      <c r="R1372">
        <v>1</v>
      </c>
      <c r="S1372">
        <v>3000000</v>
      </c>
      <c r="T1372" t="s">
        <v>2890</v>
      </c>
      <c r="U1372" t="s">
        <v>2891</v>
      </c>
      <c r="W1372">
        <v>525</v>
      </c>
      <c r="X1372" t="b">
        <v>1</v>
      </c>
    </row>
    <row r="1373" spans="1:24" x14ac:dyDescent="0.25">
      <c r="A1373">
        <v>1411</v>
      </c>
      <c r="B1373" t="s">
        <v>2892</v>
      </c>
      <c r="C1373">
        <v>5</v>
      </c>
      <c r="D1373">
        <v>20</v>
      </c>
      <c r="E1373">
        <v>99</v>
      </c>
      <c r="F1373">
        <v>4</v>
      </c>
      <c r="G1373">
        <v>4</v>
      </c>
      <c r="H1373">
        <v>1</v>
      </c>
      <c r="I1373">
        <v>4</v>
      </c>
      <c r="J1373">
        <v>1008</v>
      </c>
      <c r="K1373">
        <v>2520</v>
      </c>
      <c r="L1373">
        <v>1</v>
      </c>
      <c r="M1373">
        <v>686</v>
      </c>
      <c r="N1373">
        <v>1235</v>
      </c>
      <c r="O1373">
        <v>1</v>
      </c>
      <c r="P1373">
        <v>227</v>
      </c>
      <c r="Q1373">
        <v>409</v>
      </c>
      <c r="R1373">
        <v>1</v>
      </c>
      <c r="S1373">
        <v>3000000</v>
      </c>
      <c r="T1373" t="s">
        <v>2890</v>
      </c>
      <c r="U1373" t="s">
        <v>2891</v>
      </c>
      <c r="V1373" t="s">
        <v>1637</v>
      </c>
      <c r="W1373">
        <v>937.5</v>
      </c>
      <c r="X1373" t="b">
        <v>1</v>
      </c>
    </row>
    <row r="1374" spans="1:24" x14ac:dyDescent="0.25">
      <c r="A1374">
        <v>1422</v>
      </c>
      <c r="B1374" t="s">
        <v>2893</v>
      </c>
      <c r="C1374">
        <v>8</v>
      </c>
      <c r="D1374">
        <v>70</v>
      </c>
      <c r="E1374">
        <v>99</v>
      </c>
      <c r="F1374">
        <v>3</v>
      </c>
      <c r="G1374">
        <v>2</v>
      </c>
      <c r="H1374">
        <v>5</v>
      </c>
      <c r="I1374">
        <v>6</v>
      </c>
      <c r="J1374">
        <v>1225</v>
      </c>
      <c r="K1374">
        <v>3018</v>
      </c>
      <c r="L1374">
        <v>1</v>
      </c>
      <c r="M1374">
        <v>1267</v>
      </c>
      <c r="N1374">
        <v>2101</v>
      </c>
      <c r="O1374">
        <v>1</v>
      </c>
      <c r="P1374">
        <v>0</v>
      </c>
      <c r="Q1374">
        <v>0</v>
      </c>
      <c r="R1374">
        <v>1</v>
      </c>
      <c r="S1374">
        <v>5000000</v>
      </c>
      <c r="T1374" t="s">
        <v>2894</v>
      </c>
      <c r="U1374" t="s">
        <v>1201</v>
      </c>
      <c r="V1374" t="s">
        <v>2895</v>
      </c>
      <c r="W1374">
        <v>2925</v>
      </c>
      <c r="X1374" t="b">
        <v>1</v>
      </c>
    </row>
    <row r="1375" spans="1:24" x14ac:dyDescent="0.25">
      <c r="A1375">
        <v>1423</v>
      </c>
      <c r="B1375" t="s">
        <v>2896</v>
      </c>
      <c r="C1375">
        <v>7</v>
      </c>
      <c r="D1375">
        <v>55</v>
      </c>
      <c r="E1375">
        <v>99</v>
      </c>
      <c r="F1375">
        <v>2</v>
      </c>
      <c r="G1375">
        <v>3</v>
      </c>
      <c r="H1375">
        <v>5</v>
      </c>
      <c r="I1375">
        <v>1</v>
      </c>
      <c r="J1375">
        <v>1886</v>
      </c>
      <c r="K1375">
        <v>4299</v>
      </c>
      <c r="L1375">
        <v>1</v>
      </c>
      <c r="M1375">
        <v>887</v>
      </c>
      <c r="N1375">
        <v>1303</v>
      </c>
      <c r="O1375">
        <v>1</v>
      </c>
      <c r="P1375">
        <v>259</v>
      </c>
      <c r="Q1375">
        <v>548</v>
      </c>
      <c r="R1375">
        <v>1</v>
      </c>
      <c r="S1375">
        <v>4000000</v>
      </c>
      <c r="T1375" t="s">
        <v>690</v>
      </c>
      <c r="U1375" t="s">
        <v>691</v>
      </c>
      <c r="V1375" t="s">
        <v>2897</v>
      </c>
      <c r="W1375">
        <v>2325</v>
      </c>
      <c r="X1375" t="b">
        <v>1</v>
      </c>
    </row>
    <row r="1376" spans="1:24" x14ac:dyDescent="0.25">
      <c r="A1376">
        <v>1426</v>
      </c>
      <c r="B1376" t="s">
        <v>2898</v>
      </c>
      <c r="C1376">
        <v>4</v>
      </c>
      <c r="D1376">
        <v>10</v>
      </c>
      <c r="E1376">
        <v>50</v>
      </c>
      <c r="F1376">
        <v>3</v>
      </c>
      <c r="G1376" t="s">
        <v>112</v>
      </c>
      <c r="H1376">
        <v>2</v>
      </c>
      <c r="I1376" t="s">
        <v>112</v>
      </c>
      <c r="J1376">
        <v>731</v>
      </c>
      <c r="K1376">
        <v>1754</v>
      </c>
      <c r="L1376">
        <v>1</v>
      </c>
      <c r="M1376">
        <v>477</v>
      </c>
      <c r="N1376">
        <v>811</v>
      </c>
      <c r="O1376">
        <v>1</v>
      </c>
      <c r="P1376">
        <v>50</v>
      </c>
      <c r="Q1376">
        <v>85</v>
      </c>
      <c r="R1376">
        <v>1</v>
      </c>
      <c r="S1376">
        <v>3000000</v>
      </c>
      <c r="T1376" t="s">
        <v>2899</v>
      </c>
      <c r="U1376" t="s">
        <v>2900</v>
      </c>
      <c r="W1376">
        <v>525</v>
      </c>
      <c r="X1376" t="b">
        <v>1</v>
      </c>
    </row>
    <row r="1377" spans="1:24" x14ac:dyDescent="0.25">
      <c r="A1377">
        <v>1427</v>
      </c>
      <c r="B1377" t="s">
        <v>2901</v>
      </c>
      <c r="C1377">
        <v>5</v>
      </c>
      <c r="D1377">
        <v>20</v>
      </c>
      <c r="E1377">
        <v>99</v>
      </c>
      <c r="F1377">
        <v>3</v>
      </c>
      <c r="G1377">
        <v>3</v>
      </c>
      <c r="H1377">
        <v>2</v>
      </c>
      <c r="I1377" t="s">
        <v>112</v>
      </c>
      <c r="J1377">
        <v>1403</v>
      </c>
      <c r="K1377">
        <v>3508</v>
      </c>
      <c r="L1377">
        <v>1</v>
      </c>
      <c r="M1377">
        <v>730</v>
      </c>
      <c r="N1377">
        <v>1264</v>
      </c>
      <c r="O1377">
        <v>1</v>
      </c>
      <c r="P1377">
        <v>77</v>
      </c>
      <c r="Q1377">
        <v>139</v>
      </c>
      <c r="R1377">
        <v>1</v>
      </c>
      <c r="S1377">
        <v>3000000</v>
      </c>
      <c r="T1377" t="s">
        <v>2902</v>
      </c>
      <c r="U1377" t="s">
        <v>2900</v>
      </c>
      <c r="V1377" t="s">
        <v>2903</v>
      </c>
      <c r="W1377">
        <v>937.5</v>
      </c>
      <c r="X1377" t="b">
        <v>1</v>
      </c>
    </row>
    <row r="1378" spans="1:24" x14ac:dyDescent="0.25">
      <c r="A1378">
        <v>1428</v>
      </c>
      <c r="B1378" t="s">
        <v>2904</v>
      </c>
      <c r="C1378">
        <v>4</v>
      </c>
      <c r="D1378">
        <v>10</v>
      </c>
      <c r="E1378">
        <v>50</v>
      </c>
      <c r="F1378">
        <v>1</v>
      </c>
      <c r="G1378" t="s">
        <v>112</v>
      </c>
      <c r="H1378">
        <v>1</v>
      </c>
      <c r="I1378" t="s">
        <v>112</v>
      </c>
      <c r="J1378">
        <v>605</v>
      </c>
      <c r="K1378">
        <v>1452</v>
      </c>
      <c r="L1378">
        <v>1</v>
      </c>
      <c r="M1378">
        <v>475</v>
      </c>
      <c r="N1378">
        <v>808</v>
      </c>
      <c r="O1378">
        <v>1</v>
      </c>
      <c r="P1378">
        <v>117</v>
      </c>
      <c r="Q1378">
        <v>199</v>
      </c>
      <c r="R1378">
        <v>1</v>
      </c>
      <c r="S1378">
        <v>3000000</v>
      </c>
      <c r="T1378" t="s">
        <v>2905</v>
      </c>
      <c r="U1378" t="s">
        <v>2906</v>
      </c>
      <c r="W1378">
        <v>525</v>
      </c>
      <c r="X1378" t="b">
        <v>1</v>
      </c>
    </row>
    <row r="1379" spans="1:24" x14ac:dyDescent="0.25">
      <c r="A1379">
        <v>1429</v>
      </c>
      <c r="B1379" t="s">
        <v>2907</v>
      </c>
      <c r="C1379">
        <v>5</v>
      </c>
      <c r="D1379">
        <v>20</v>
      </c>
      <c r="E1379">
        <v>99</v>
      </c>
      <c r="F1379">
        <v>1</v>
      </c>
      <c r="G1379">
        <v>1</v>
      </c>
      <c r="H1379">
        <v>1</v>
      </c>
      <c r="I1379" t="s">
        <v>112</v>
      </c>
      <c r="J1379">
        <v>1162</v>
      </c>
      <c r="K1379">
        <v>2805</v>
      </c>
      <c r="L1379">
        <v>1</v>
      </c>
      <c r="M1379">
        <v>727</v>
      </c>
      <c r="N1379">
        <v>1159</v>
      </c>
      <c r="O1379">
        <v>1</v>
      </c>
      <c r="P1379">
        <v>179</v>
      </c>
      <c r="Q1379">
        <v>302</v>
      </c>
      <c r="R1379">
        <v>1</v>
      </c>
      <c r="S1379">
        <v>3000000</v>
      </c>
      <c r="T1379" t="s">
        <v>2908</v>
      </c>
      <c r="U1379" t="s">
        <v>2906</v>
      </c>
      <c r="V1379" t="s">
        <v>2909</v>
      </c>
      <c r="W1379">
        <v>937.5</v>
      </c>
      <c r="X1379" t="b">
        <v>1</v>
      </c>
    </row>
    <row r="1380" spans="1:24" x14ac:dyDescent="0.25">
      <c r="A1380">
        <v>1430</v>
      </c>
      <c r="B1380" t="s">
        <v>2910</v>
      </c>
      <c r="C1380">
        <v>4</v>
      </c>
      <c r="D1380">
        <v>10</v>
      </c>
      <c r="E1380">
        <v>50</v>
      </c>
      <c r="F1380">
        <v>2</v>
      </c>
      <c r="G1380" t="s">
        <v>112</v>
      </c>
      <c r="H1380">
        <v>4</v>
      </c>
      <c r="I1380" t="s">
        <v>112</v>
      </c>
      <c r="J1380">
        <v>701</v>
      </c>
      <c r="K1380">
        <v>1682</v>
      </c>
      <c r="L1380">
        <v>1</v>
      </c>
      <c r="M1380">
        <v>512</v>
      </c>
      <c r="N1380">
        <v>870</v>
      </c>
      <c r="O1380">
        <v>1</v>
      </c>
      <c r="P1380">
        <v>45</v>
      </c>
      <c r="Q1380">
        <v>77</v>
      </c>
      <c r="R1380">
        <v>1</v>
      </c>
      <c r="S1380">
        <v>3500000</v>
      </c>
      <c r="T1380" t="s">
        <v>2911</v>
      </c>
      <c r="U1380" t="s">
        <v>2912</v>
      </c>
      <c r="W1380">
        <v>525</v>
      </c>
      <c r="X1380" t="b">
        <v>1</v>
      </c>
    </row>
    <row r="1381" spans="1:24" x14ac:dyDescent="0.25">
      <c r="A1381">
        <v>1431</v>
      </c>
      <c r="B1381" t="s">
        <v>2913</v>
      </c>
      <c r="C1381">
        <v>5</v>
      </c>
      <c r="D1381">
        <v>20</v>
      </c>
      <c r="E1381">
        <v>99</v>
      </c>
      <c r="F1381">
        <v>2</v>
      </c>
      <c r="G1381">
        <v>2</v>
      </c>
      <c r="H1381">
        <v>4</v>
      </c>
      <c r="I1381" t="s">
        <v>112</v>
      </c>
      <c r="J1381">
        <v>1346</v>
      </c>
      <c r="K1381">
        <v>3365</v>
      </c>
      <c r="L1381">
        <v>1</v>
      </c>
      <c r="M1381">
        <v>783</v>
      </c>
      <c r="N1381">
        <v>1359</v>
      </c>
      <c r="O1381">
        <v>1</v>
      </c>
      <c r="P1381">
        <v>69</v>
      </c>
      <c r="Q1381">
        <v>124</v>
      </c>
      <c r="R1381">
        <v>1</v>
      </c>
      <c r="S1381">
        <v>3500000</v>
      </c>
      <c r="T1381" t="s">
        <v>2914</v>
      </c>
      <c r="U1381" t="s">
        <v>2912</v>
      </c>
      <c r="V1381" t="s">
        <v>2915</v>
      </c>
      <c r="W1381">
        <v>937.5</v>
      </c>
      <c r="X1381" t="b">
        <v>1</v>
      </c>
    </row>
    <row r="1382" spans="1:24" x14ac:dyDescent="0.25">
      <c r="A1382">
        <v>1432</v>
      </c>
      <c r="B1382" t="s">
        <v>2916</v>
      </c>
      <c r="C1382">
        <v>4</v>
      </c>
      <c r="D1382">
        <v>10</v>
      </c>
      <c r="E1382">
        <v>50</v>
      </c>
      <c r="F1382">
        <v>0</v>
      </c>
      <c r="G1382" t="s">
        <v>112</v>
      </c>
      <c r="H1382">
        <v>3</v>
      </c>
      <c r="I1382" t="s">
        <v>112</v>
      </c>
      <c r="J1382">
        <v>519</v>
      </c>
      <c r="K1382">
        <v>1246</v>
      </c>
      <c r="L1382">
        <v>1</v>
      </c>
      <c r="M1382">
        <v>448</v>
      </c>
      <c r="N1382">
        <v>762</v>
      </c>
      <c r="O1382">
        <v>1</v>
      </c>
      <c r="P1382">
        <v>178</v>
      </c>
      <c r="Q1382">
        <v>303</v>
      </c>
      <c r="R1382">
        <v>1</v>
      </c>
      <c r="S1382">
        <v>3000000</v>
      </c>
      <c r="T1382" t="s">
        <v>2917</v>
      </c>
      <c r="U1382" t="s">
        <v>2918</v>
      </c>
      <c r="W1382">
        <v>525</v>
      </c>
      <c r="X1382" t="b">
        <v>1</v>
      </c>
    </row>
    <row r="1383" spans="1:24" x14ac:dyDescent="0.25">
      <c r="A1383">
        <v>1433</v>
      </c>
      <c r="B1383" t="s">
        <v>2919</v>
      </c>
      <c r="C1383">
        <v>5</v>
      </c>
      <c r="D1383">
        <v>20</v>
      </c>
      <c r="E1383">
        <v>99</v>
      </c>
      <c r="F1383">
        <v>0</v>
      </c>
      <c r="G1383">
        <v>0</v>
      </c>
      <c r="H1383">
        <v>3</v>
      </c>
      <c r="I1383" t="s">
        <v>112</v>
      </c>
      <c r="J1383">
        <v>997</v>
      </c>
      <c r="K1383">
        <v>2373</v>
      </c>
      <c r="L1383">
        <v>1</v>
      </c>
      <c r="M1383">
        <v>686</v>
      </c>
      <c r="N1383">
        <v>1105</v>
      </c>
      <c r="O1383">
        <v>1</v>
      </c>
      <c r="P1383">
        <v>273</v>
      </c>
      <c r="Q1383">
        <v>471</v>
      </c>
      <c r="R1383">
        <v>1</v>
      </c>
      <c r="S1383">
        <v>3000000</v>
      </c>
      <c r="T1383" t="s">
        <v>2920</v>
      </c>
      <c r="U1383" t="s">
        <v>2918</v>
      </c>
      <c r="V1383" t="s">
        <v>2921</v>
      </c>
      <c r="W1383">
        <v>937.5</v>
      </c>
      <c r="X1383" t="b">
        <v>1</v>
      </c>
    </row>
    <row r="1384" spans="1:24" x14ac:dyDescent="0.25">
      <c r="A1384">
        <v>1434</v>
      </c>
      <c r="B1384" t="s">
        <v>2922</v>
      </c>
      <c r="C1384">
        <v>5</v>
      </c>
      <c r="D1384">
        <v>12</v>
      </c>
      <c r="E1384">
        <v>50</v>
      </c>
      <c r="F1384">
        <v>0</v>
      </c>
      <c r="G1384" t="s">
        <v>112</v>
      </c>
      <c r="H1384">
        <v>6</v>
      </c>
      <c r="I1384" t="s">
        <v>112</v>
      </c>
      <c r="J1384">
        <v>269</v>
      </c>
      <c r="K1384">
        <v>646</v>
      </c>
      <c r="L1384">
        <v>1</v>
      </c>
      <c r="M1384">
        <v>749</v>
      </c>
      <c r="N1384">
        <v>1273</v>
      </c>
      <c r="O1384">
        <v>1</v>
      </c>
      <c r="P1384">
        <v>150</v>
      </c>
      <c r="Q1384">
        <v>255</v>
      </c>
      <c r="R1384">
        <v>1</v>
      </c>
      <c r="S1384">
        <v>4000000</v>
      </c>
      <c r="T1384" t="s">
        <v>2923</v>
      </c>
      <c r="U1384" t="s">
        <v>2924</v>
      </c>
      <c r="W1384">
        <v>637.5</v>
      </c>
      <c r="X1384" t="b">
        <v>1</v>
      </c>
    </row>
    <row r="1385" spans="1:24" x14ac:dyDescent="0.25">
      <c r="A1385">
        <v>1435</v>
      </c>
      <c r="B1385" t="s">
        <v>2925</v>
      </c>
      <c r="C1385">
        <v>6</v>
      </c>
      <c r="D1385">
        <v>22</v>
      </c>
      <c r="E1385">
        <v>99</v>
      </c>
      <c r="F1385">
        <v>0</v>
      </c>
      <c r="G1385">
        <v>4</v>
      </c>
      <c r="H1385">
        <v>6</v>
      </c>
      <c r="I1385" t="s">
        <v>112</v>
      </c>
      <c r="J1385">
        <v>517</v>
      </c>
      <c r="K1385">
        <v>1293</v>
      </c>
      <c r="L1385">
        <v>1</v>
      </c>
      <c r="M1385">
        <v>1146</v>
      </c>
      <c r="N1385">
        <v>2063</v>
      </c>
      <c r="O1385">
        <v>1</v>
      </c>
      <c r="P1385">
        <v>230</v>
      </c>
      <c r="Q1385">
        <v>414</v>
      </c>
      <c r="R1385">
        <v>1</v>
      </c>
      <c r="S1385">
        <v>4000000</v>
      </c>
      <c r="T1385" t="s">
        <v>2926</v>
      </c>
      <c r="U1385" t="s">
        <v>2924</v>
      </c>
      <c r="V1385" t="s">
        <v>2927</v>
      </c>
      <c r="W1385">
        <v>1050</v>
      </c>
      <c r="X1385" t="b">
        <v>1</v>
      </c>
    </row>
    <row r="1386" spans="1:24" x14ac:dyDescent="0.25">
      <c r="A1386">
        <v>1436</v>
      </c>
      <c r="B1386" t="s">
        <v>2928</v>
      </c>
      <c r="C1386">
        <v>5</v>
      </c>
      <c r="D1386">
        <v>12</v>
      </c>
      <c r="E1386">
        <v>50</v>
      </c>
      <c r="F1386">
        <v>3</v>
      </c>
      <c r="G1386" t="s">
        <v>112</v>
      </c>
      <c r="H1386">
        <v>3</v>
      </c>
      <c r="I1386" t="s">
        <v>112</v>
      </c>
      <c r="J1386">
        <v>481</v>
      </c>
      <c r="K1386">
        <v>1154</v>
      </c>
      <c r="L1386">
        <v>1</v>
      </c>
      <c r="M1386">
        <v>452</v>
      </c>
      <c r="N1386">
        <v>768</v>
      </c>
      <c r="O1386">
        <v>1</v>
      </c>
      <c r="P1386">
        <v>261</v>
      </c>
      <c r="Q1386">
        <v>444</v>
      </c>
      <c r="R1386">
        <v>1</v>
      </c>
      <c r="S1386">
        <v>4000000</v>
      </c>
      <c r="T1386" t="s">
        <v>2929</v>
      </c>
      <c r="U1386" t="s">
        <v>2930</v>
      </c>
      <c r="W1386">
        <v>637.5</v>
      </c>
      <c r="X1386" t="b">
        <v>1</v>
      </c>
    </row>
    <row r="1387" spans="1:24" x14ac:dyDescent="0.25">
      <c r="A1387">
        <v>1437</v>
      </c>
      <c r="B1387" t="s">
        <v>2931</v>
      </c>
      <c r="C1387">
        <v>6</v>
      </c>
      <c r="D1387">
        <v>22</v>
      </c>
      <c r="E1387">
        <v>99</v>
      </c>
      <c r="F1387">
        <v>3</v>
      </c>
      <c r="G1387">
        <v>3</v>
      </c>
      <c r="H1387">
        <v>3</v>
      </c>
      <c r="I1387">
        <v>5</v>
      </c>
      <c r="J1387">
        <v>923</v>
      </c>
      <c r="K1387">
        <v>2308</v>
      </c>
      <c r="L1387">
        <v>1</v>
      </c>
      <c r="M1387">
        <v>691</v>
      </c>
      <c r="N1387">
        <v>1244</v>
      </c>
      <c r="O1387">
        <v>1</v>
      </c>
      <c r="P1387">
        <v>400</v>
      </c>
      <c r="Q1387">
        <v>670</v>
      </c>
      <c r="R1387">
        <v>1</v>
      </c>
      <c r="S1387">
        <v>4000000</v>
      </c>
      <c r="T1387" t="s">
        <v>2932</v>
      </c>
      <c r="U1387" t="s">
        <v>2930</v>
      </c>
      <c r="V1387" t="s">
        <v>2933</v>
      </c>
      <c r="W1387">
        <v>1050</v>
      </c>
      <c r="X1387" t="b">
        <v>1</v>
      </c>
    </row>
    <row r="1388" spans="1:24" x14ac:dyDescent="0.25">
      <c r="A1388">
        <v>1438</v>
      </c>
      <c r="B1388" t="s">
        <v>2934</v>
      </c>
      <c r="C1388">
        <v>5</v>
      </c>
      <c r="D1388">
        <v>12</v>
      </c>
      <c r="E1388">
        <v>50</v>
      </c>
      <c r="F1388">
        <v>3</v>
      </c>
      <c r="G1388" t="s">
        <v>112</v>
      </c>
      <c r="H1388">
        <v>1</v>
      </c>
      <c r="I1388" t="s">
        <v>112</v>
      </c>
      <c r="J1388">
        <v>661</v>
      </c>
      <c r="K1388">
        <v>1586</v>
      </c>
      <c r="L1388">
        <v>1</v>
      </c>
      <c r="M1388">
        <v>502</v>
      </c>
      <c r="N1388">
        <v>853</v>
      </c>
      <c r="O1388">
        <v>1</v>
      </c>
      <c r="P1388">
        <v>117</v>
      </c>
      <c r="Q1388">
        <v>199</v>
      </c>
      <c r="R1388">
        <v>1</v>
      </c>
      <c r="S1388">
        <v>4000000</v>
      </c>
      <c r="T1388" t="s">
        <v>2935</v>
      </c>
      <c r="U1388" t="s">
        <v>2936</v>
      </c>
      <c r="W1388">
        <v>637.5</v>
      </c>
      <c r="X1388" t="b">
        <v>1</v>
      </c>
    </row>
    <row r="1389" spans="1:24" x14ac:dyDescent="0.25">
      <c r="A1389">
        <v>1439</v>
      </c>
      <c r="B1389" t="s">
        <v>2937</v>
      </c>
      <c r="C1389">
        <v>6</v>
      </c>
      <c r="D1389">
        <v>22</v>
      </c>
      <c r="E1389">
        <v>99</v>
      </c>
      <c r="F1389">
        <v>3</v>
      </c>
      <c r="G1389">
        <v>3</v>
      </c>
      <c r="H1389">
        <v>1</v>
      </c>
      <c r="I1389" t="s">
        <v>112</v>
      </c>
      <c r="J1389">
        <v>1269</v>
      </c>
      <c r="K1389">
        <v>3173</v>
      </c>
      <c r="L1389">
        <v>1</v>
      </c>
      <c r="M1389">
        <v>768</v>
      </c>
      <c r="N1389">
        <v>1382</v>
      </c>
      <c r="O1389">
        <v>1</v>
      </c>
      <c r="P1389">
        <v>179</v>
      </c>
      <c r="Q1389">
        <v>322</v>
      </c>
      <c r="R1389">
        <v>1</v>
      </c>
      <c r="S1389">
        <v>4000000</v>
      </c>
      <c r="T1389" t="s">
        <v>2938</v>
      </c>
      <c r="U1389" t="s">
        <v>2936</v>
      </c>
      <c r="V1389" t="s">
        <v>2939</v>
      </c>
      <c r="W1389">
        <v>1050</v>
      </c>
      <c r="X1389" t="b">
        <v>1</v>
      </c>
    </row>
    <row r="1390" spans="1:24" x14ac:dyDescent="0.25">
      <c r="A1390">
        <v>1440</v>
      </c>
      <c r="B1390" t="s">
        <v>2940</v>
      </c>
      <c r="C1390">
        <v>3</v>
      </c>
      <c r="D1390">
        <v>8</v>
      </c>
      <c r="E1390">
        <v>25</v>
      </c>
      <c r="F1390">
        <v>0</v>
      </c>
      <c r="G1390" t="s">
        <v>112</v>
      </c>
      <c r="H1390">
        <v>2</v>
      </c>
      <c r="I1390" t="s">
        <v>112</v>
      </c>
      <c r="J1390">
        <v>338</v>
      </c>
      <c r="K1390">
        <v>1521</v>
      </c>
      <c r="L1390">
        <v>1</v>
      </c>
      <c r="M1390">
        <v>126</v>
      </c>
      <c r="N1390">
        <v>567</v>
      </c>
      <c r="O1390">
        <v>1</v>
      </c>
      <c r="P1390">
        <v>12</v>
      </c>
      <c r="Q1390">
        <v>25</v>
      </c>
      <c r="R1390">
        <v>1</v>
      </c>
      <c r="S1390">
        <v>1500000</v>
      </c>
      <c r="T1390" t="s">
        <v>2941</v>
      </c>
      <c r="U1390" t="s">
        <v>112</v>
      </c>
      <c r="W1390">
        <v>412.5</v>
      </c>
      <c r="X1390" t="b">
        <v>1</v>
      </c>
    </row>
    <row r="1391" spans="1:24" x14ac:dyDescent="0.25">
      <c r="A1391">
        <v>1441</v>
      </c>
      <c r="B1391" t="s">
        <v>2942</v>
      </c>
      <c r="C1391">
        <v>4</v>
      </c>
      <c r="D1391">
        <v>18</v>
      </c>
      <c r="E1391">
        <v>70</v>
      </c>
      <c r="F1391">
        <v>0</v>
      </c>
      <c r="G1391">
        <v>3</v>
      </c>
      <c r="H1391">
        <v>2</v>
      </c>
      <c r="I1391" t="s">
        <v>112</v>
      </c>
      <c r="J1391">
        <v>1217</v>
      </c>
      <c r="K1391">
        <v>3043</v>
      </c>
      <c r="L1391">
        <v>1</v>
      </c>
      <c r="M1391">
        <v>510</v>
      </c>
      <c r="N1391">
        <v>1275</v>
      </c>
      <c r="O1391">
        <v>1</v>
      </c>
      <c r="P1391">
        <v>23</v>
      </c>
      <c r="Q1391">
        <v>48</v>
      </c>
      <c r="R1391">
        <v>1</v>
      </c>
      <c r="S1391">
        <v>3000000</v>
      </c>
      <c r="T1391" t="s">
        <v>2943</v>
      </c>
      <c r="U1391" t="s">
        <v>2108</v>
      </c>
      <c r="V1391" t="s">
        <v>2944</v>
      </c>
      <c r="W1391">
        <v>825</v>
      </c>
      <c r="X1391" t="b">
        <v>1</v>
      </c>
    </row>
    <row r="1392" spans="1:24" x14ac:dyDescent="0.25">
      <c r="A1392">
        <v>1442</v>
      </c>
      <c r="B1392" t="s">
        <v>2945</v>
      </c>
      <c r="C1392">
        <v>4</v>
      </c>
      <c r="D1392">
        <v>20</v>
      </c>
      <c r="E1392">
        <v>50</v>
      </c>
      <c r="F1392">
        <v>4</v>
      </c>
      <c r="G1392" t="s">
        <v>112</v>
      </c>
      <c r="H1392">
        <v>7</v>
      </c>
      <c r="I1392" t="s">
        <v>112</v>
      </c>
      <c r="J1392">
        <v>272</v>
      </c>
      <c r="K1392">
        <v>1224</v>
      </c>
      <c r="L1392">
        <v>1</v>
      </c>
      <c r="M1392">
        <v>132</v>
      </c>
      <c r="N1392">
        <v>594</v>
      </c>
      <c r="O1392">
        <v>1</v>
      </c>
      <c r="P1392">
        <v>88</v>
      </c>
      <c r="Q1392">
        <v>185</v>
      </c>
      <c r="R1392">
        <v>1</v>
      </c>
      <c r="S1392">
        <v>2000000</v>
      </c>
      <c r="T1392" t="s">
        <v>2946</v>
      </c>
      <c r="U1392" t="s">
        <v>2947</v>
      </c>
      <c r="W1392">
        <v>900</v>
      </c>
      <c r="X1392" t="b">
        <v>1</v>
      </c>
    </row>
    <row r="1393" spans="1:24" x14ac:dyDescent="0.25">
      <c r="A1393">
        <v>1443</v>
      </c>
      <c r="B1393" t="s">
        <v>2948</v>
      </c>
      <c r="C1393">
        <v>5</v>
      </c>
      <c r="D1393">
        <v>40</v>
      </c>
      <c r="E1393">
        <v>99</v>
      </c>
      <c r="F1393">
        <v>4</v>
      </c>
      <c r="G1393">
        <v>3</v>
      </c>
      <c r="H1393">
        <v>7</v>
      </c>
      <c r="I1393" t="s">
        <v>112</v>
      </c>
      <c r="J1393">
        <v>979</v>
      </c>
      <c r="K1393">
        <v>2848</v>
      </c>
      <c r="L1393">
        <v>1</v>
      </c>
      <c r="M1393">
        <v>535</v>
      </c>
      <c r="N1393">
        <v>1538</v>
      </c>
      <c r="O1393">
        <v>1</v>
      </c>
      <c r="P1393">
        <v>167</v>
      </c>
      <c r="Q1393">
        <v>351</v>
      </c>
      <c r="R1393">
        <v>1</v>
      </c>
      <c r="S1393">
        <v>5000000</v>
      </c>
      <c r="T1393" t="s">
        <v>2949</v>
      </c>
      <c r="U1393" t="s">
        <v>2947</v>
      </c>
      <c r="V1393" t="s">
        <v>2950</v>
      </c>
      <c r="W1393">
        <v>1687.5</v>
      </c>
      <c r="X1393" t="b">
        <v>1</v>
      </c>
    </row>
    <row r="1394" spans="1:24" x14ac:dyDescent="0.25">
      <c r="A1394">
        <v>1444</v>
      </c>
      <c r="B1394" t="s">
        <v>2951</v>
      </c>
      <c r="C1394">
        <v>3</v>
      </c>
      <c r="D1394">
        <v>8</v>
      </c>
      <c r="E1394">
        <v>25</v>
      </c>
      <c r="F1394">
        <v>4</v>
      </c>
      <c r="G1394" t="s">
        <v>112</v>
      </c>
      <c r="H1394">
        <v>7</v>
      </c>
      <c r="I1394" t="s">
        <v>112</v>
      </c>
      <c r="J1394">
        <v>259</v>
      </c>
      <c r="K1394">
        <v>1166</v>
      </c>
      <c r="L1394">
        <v>1</v>
      </c>
      <c r="M1394">
        <v>127</v>
      </c>
      <c r="N1394">
        <v>572</v>
      </c>
      <c r="O1394">
        <v>1</v>
      </c>
      <c r="P1394">
        <v>52</v>
      </c>
      <c r="Q1394">
        <v>109</v>
      </c>
      <c r="R1394">
        <v>1</v>
      </c>
      <c r="S1394">
        <v>1500000</v>
      </c>
      <c r="T1394" t="s">
        <v>2952</v>
      </c>
      <c r="U1394" t="s">
        <v>112</v>
      </c>
      <c r="W1394">
        <v>412.5</v>
      </c>
      <c r="X1394" t="b">
        <v>1</v>
      </c>
    </row>
    <row r="1395" spans="1:24" x14ac:dyDescent="0.25">
      <c r="A1395">
        <v>1445</v>
      </c>
      <c r="B1395" t="s">
        <v>2953</v>
      </c>
      <c r="C1395">
        <v>4</v>
      </c>
      <c r="D1395">
        <v>18</v>
      </c>
      <c r="E1395">
        <v>70</v>
      </c>
      <c r="F1395">
        <v>4</v>
      </c>
      <c r="G1395">
        <v>3</v>
      </c>
      <c r="H1395">
        <v>7</v>
      </c>
      <c r="I1395" t="s">
        <v>112</v>
      </c>
      <c r="J1395">
        <v>933</v>
      </c>
      <c r="K1395">
        <v>2333</v>
      </c>
      <c r="L1395">
        <v>1</v>
      </c>
      <c r="M1395">
        <v>515</v>
      </c>
      <c r="N1395">
        <v>1288</v>
      </c>
      <c r="O1395">
        <v>1</v>
      </c>
      <c r="P1395">
        <v>98</v>
      </c>
      <c r="Q1395">
        <v>206</v>
      </c>
      <c r="R1395">
        <v>1</v>
      </c>
      <c r="S1395">
        <v>3000000</v>
      </c>
      <c r="T1395" t="s">
        <v>2954</v>
      </c>
      <c r="U1395" t="s">
        <v>686</v>
      </c>
      <c r="V1395" t="s">
        <v>2712</v>
      </c>
      <c r="W1395">
        <v>825</v>
      </c>
      <c r="X1395" t="b">
        <v>1</v>
      </c>
    </row>
    <row r="1396" spans="1:24" x14ac:dyDescent="0.25">
      <c r="A1396">
        <v>1446</v>
      </c>
      <c r="B1396" t="s">
        <v>2955</v>
      </c>
      <c r="C1396">
        <v>3</v>
      </c>
      <c r="D1396">
        <v>8</v>
      </c>
      <c r="E1396">
        <v>25</v>
      </c>
      <c r="F1396">
        <v>3</v>
      </c>
      <c r="G1396" t="s">
        <v>112</v>
      </c>
      <c r="H1396">
        <v>6</v>
      </c>
      <c r="I1396" t="s">
        <v>112</v>
      </c>
      <c r="J1396">
        <v>279</v>
      </c>
      <c r="K1396">
        <v>1256</v>
      </c>
      <c r="L1396">
        <v>1</v>
      </c>
      <c r="M1396">
        <v>145</v>
      </c>
      <c r="N1396">
        <v>653</v>
      </c>
      <c r="O1396">
        <v>1</v>
      </c>
      <c r="P1396">
        <v>11</v>
      </c>
      <c r="Q1396">
        <v>23</v>
      </c>
      <c r="R1396">
        <v>1</v>
      </c>
      <c r="S1396">
        <v>1500000</v>
      </c>
      <c r="T1396" t="s">
        <v>2956</v>
      </c>
      <c r="U1396" t="s">
        <v>112</v>
      </c>
      <c r="W1396">
        <v>412.5</v>
      </c>
      <c r="X1396" t="b">
        <v>1</v>
      </c>
    </row>
    <row r="1397" spans="1:24" x14ac:dyDescent="0.25">
      <c r="A1397">
        <v>1447</v>
      </c>
      <c r="B1397" t="s">
        <v>2957</v>
      </c>
      <c r="C1397">
        <v>4</v>
      </c>
      <c r="D1397">
        <v>18</v>
      </c>
      <c r="E1397">
        <v>70</v>
      </c>
      <c r="F1397">
        <v>3</v>
      </c>
      <c r="G1397">
        <v>3</v>
      </c>
      <c r="H1397">
        <v>6</v>
      </c>
      <c r="I1397" t="s">
        <v>112</v>
      </c>
      <c r="J1397">
        <v>1005</v>
      </c>
      <c r="K1397">
        <v>2513</v>
      </c>
      <c r="L1397">
        <v>1</v>
      </c>
      <c r="M1397">
        <v>588</v>
      </c>
      <c r="N1397">
        <v>1470</v>
      </c>
      <c r="O1397">
        <v>1</v>
      </c>
      <c r="P1397">
        <v>21</v>
      </c>
      <c r="Q1397">
        <v>44</v>
      </c>
      <c r="R1397">
        <v>1</v>
      </c>
      <c r="S1397">
        <v>3000000</v>
      </c>
      <c r="T1397" t="s">
        <v>2958</v>
      </c>
      <c r="U1397" t="s">
        <v>772</v>
      </c>
      <c r="V1397" t="s">
        <v>2959</v>
      </c>
      <c r="W1397">
        <v>825</v>
      </c>
      <c r="X1397" t="b">
        <v>1</v>
      </c>
    </row>
    <row r="1398" spans="1:24" x14ac:dyDescent="0.25">
      <c r="A1398">
        <v>1448</v>
      </c>
      <c r="B1398" t="s">
        <v>2960</v>
      </c>
      <c r="C1398">
        <v>3</v>
      </c>
      <c r="D1398">
        <v>8</v>
      </c>
      <c r="E1398">
        <v>25</v>
      </c>
      <c r="F1398">
        <v>3</v>
      </c>
      <c r="G1398" t="s">
        <v>112</v>
      </c>
      <c r="H1398">
        <v>1</v>
      </c>
      <c r="I1398" t="s">
        <v>112</v>
      </c>
      <c r="J1398">
        <v>235</v>
      </c>
      <c r="K1398">
        <v>1058</v>
      </c>
      <c r="L1398">
        <v>1</v>
      </c>
      <c r="M1398">
        <v>122</v>
      </c>
      <c r="N1398">
        <v>549</v>
      </c>
      <c r="O1398">
        <v>1</v>
      </c>
      <c r="P1398">
        <v>76</v>
      </c>
      <c r="Q1398">
        <v>160</v>
      </c>
      <c r="R1398">
        <v>1</v>
      </c>
      <c r="S1398">
        <v>1500000</v>
      </c>
      <c r="T1398" t="s">
        <v>2961</v>
      </c>
      <c r="U1398" t="s">
        <v>112</v>
      </c>
      <c r="W1398">
        <v>412.5</v>
      </c>
      <c r="X1398" t="b">
        <v>1</v>
      </c>
    </row>
    <row r="1399" spans="1:24" x14ac:dyDescent="0.25">
      <c r="A1399">
        <v>1449</v>
      </c>
      <c r="B1399" t="s">
        <v>2962</v>
      </c>
      <c r="C1399">
        <v>4</v>
      </c>
      <c r="D1399">
        <v>18</v>
      </c>
      <c r="E1399">
        <v>70</v>
      </c>
      <c r="F1399">
        <v>3</v>
      </c>
      <c r="G1399">
        <v>3</v>
      </c>
      <c r="H1399">
        <v>1</v>
      </c>
      <c r="I1399" t="s">
        <v>112</v>
      </c>
      <c r="J1399">
        <v>846</v>
      </c>
      <c r="K1399">
        <v>2115</v>
      </c>
      <c r="L1399">
        <v>1</v>
      </c>
      <c r="M1399">
        <v>494</v>
      </c>
      <c r="N1399">
        <v>1235</v>
      </c>
      <c r="O1399">
        <v>1</v>
      </c>
      <c r="P1399">
        <v>144</v>
      </c>
      <c r="Q1399">
        <v>302</v>
      </c>
      <c r="R1399">
        <v>1</v>
      </c>
      <c r="S1399">
        <v>3000000</v>
      </c>
      <c r="T1399" t="s">
        <v>2963</v>
      </c>
      <c r="U1399" t="s">
        <v>2589</v>
      </c>
      <c r="V1399" t="s">
        <v>2210</v>
      </c>
      <c r="W1399">
        <v>825</v>
      </c>
      <c r="X1399" t="b">
        <v>1</v>
      </c>
    </row>
    <row r="1400" spans="1:24" x14ac:dyDescent="0.25">
      <c r="A1400">
        <v>1450</v>
      </c>
      <c r="B1400" t="s">
        <v>2964</v>
      </c>
      <c r="C1400">
        <v>3</v>
      </c>
      <c r="D1400">
        <v>8</v>
      </c>
      <c r="E1400">
        <v>25</v>
      </c>
      <c r="F1400">
        <v>0</v>
      </c>
      <c r="G1400" t="s">
        <v>112</v>
      </c>
      <c r="H1400">
        <v>6</v>
      </c>
      <c r="I1400" t="s">
        <v>112</v>
      </c>
      <c r="J1400">
        <v>221</v>
      </c>
      <c r="K1400">
        <v>995</v>
      </c>
      <c r="L1400">
        <v>1</v>
      </c>
      <c r="M1400">
        <v>138</v>
      </c>
      <c r="N1400">
        <v>621</v>
      </c>
      <c r="O1400">
        <v>1</v>
      </c>
      <c r="P1400">
        <v>61</v>
      </c>
      <c r="Q1400">
        <v>128</v>
      </c>
      <c r="R1400">
        <v>1</v>
      </c>
      <c r="S1400">
        <v>1500000</v>
      </c>
      <c r="T1400" t="s">
        <v>2965</v>
      </c>
      <c r="U1400" t="s">
        <v>112</v>
      </c>
      <c r="W1400">
        <v>412.5</v>
      </c>
      <c r="X1400" t="b">
        <v>1</v>
      </c>
    </row>
    <row r="1401" spans="1:24" x14ac:dyDescent="0.25">
      <c r="A1401">
        <v>1451</v>
      </c>
      <c r="B1401" t="s">
        <v>2966</v>
      </c>
      <c r="C1401">
        <v>4</v>
      </c>
      <c r="D1401">
        <v>18</v>
      </c>
      <c r="E1401">
        <v>70</v>
      </c>
      <c r="F1401">
        <v>0</v>
      </c>
      <c r="G1401">
        <v>3</v>
      </c>
      <c r="H1401">
        <v>6</v>
      </c>
      <c r="I1401" t="s">
        <v>112</v>
      </c>
      <c r="J1401">
        <v>796</v>
      </c>
      <c r="K1401">
        <v>1990</v>
      </c>
      <c r="L1401">
        <v>1</v>
      </c>
      <c r="M1401">
        <v>559</v>
      </c>
      <c r="N1401">
        <v>1398</v>
      </c>
      <c r="O1401">
        <v>1</v>
      </c>
      <c r="P1401">
        <v>115</v>
      </c>
      <c r="Q1401">
        <v>242</v>
      </c>
      <c r="R1401">
        <v>1</v>
      </c>
      <c r="S1401">
        <v>3000000</v>
      </c>
      <c r="T1401" t="s">
        <v>2967</v>
      </c>
      <c r="U1401" t="s">
        <v>1157</v>
      </c>
      <c r="V1401" t="s">
        <v>2294</v>
      </c>
      <c r="W1401">
        <v>825</v>
      </c>
      <c r="X1401" t="b">
        <v>1</v>
      </c>
    </row>
    <row r="1402" spans="1:24" x14ac:dyDescent="0.25">
      <c r="A1402">
        <v>1452</v>
      </c>
      <c r="B1402" t="s">
        <v>2968</v>
      </c>
      <c r="C1402">
        <v>3</v>
      </c>
      <c r="D1402">
        <v>8</v>
      </c>
      <c r="E1402">
        <v>25</v>
      </c>
      <c r="F1402">
        <v>2</v>
      </c>
      <c r="G1402" t="s">
        <v>112</v>
      </c>
      <c r="H1402">
        <v>6</v>
      </c>
      <c r="I1402" t="s">
        <v>112</v>
      </c>
      <c r="J1402">
        <v>211</v>
      </c>
      <c r="K1402">
        <v>950</v>
      </c>
      <c r="L1402">
        <v>1</v>
      </c>
      <c r="M1402">
        <v>154</v>
      </c>
      <c r="N1402">
        <v>693</v>
      </c>
      <c r="O1402">
        <v>1</v>
      </c>
      <c r="P1402">
        <v>44</v>
      </c>
      <c r="Q1402">
        <v>92</v>
      </c>
      <c r="R1402">
        <v>1</v>
      </c>
      <c r="S1402">
        <v>1500000</v>
      </c>
      <c r="T1402" t="s">
        <v>2969</v>
      </c>
      <c r="U1402" t="s">
        <v>112</v>
      </c>
      <c r="W1402">
        <v>412.5</v>
      </c>
      <c r="X1402" t="b">
        <v>1</v>
      </c>
    </row>
    <row r="1403" spans="1:24" x14ac:dyDescent="0.25">
      <c r="A1403">
        <v>1453</v>
      </c>
      <c r="B1403" t="s">
        <v>2970</v>
      </c>
      <c r="C1403">
        <v>4</v>
      </c>
      <c r="D1403">
        <v>18</v>
      </c>
      <c r="E1403">
        <v>70</v>
      </c>
      <c r="F1403">
        <v>2</v>
      </c>
      <c r="G1403">
        <v>3</v>
      </c>
      <c r="H1403">
        <v>6</v>
      </c>
      <c r="I1403" t="s">
        <v>112</v>
      </c>
      <c r="J1403">
        <v>760</v>
      </c>
      <c r="K1403">
        <v>1900</v>
      </c>
      <c r="L1403">
        <v>1</v>
      </c>
      <c r="M1403">
        <v>624</v>
      </c>
      <c r="N1403">
        <v>1560</v>
      </c>
      <c r="O1403">
        <v>1</v>
      </c>
      <c r="P1403">
        <v>83</v>
      </c>
      <c r="Q1403">
        <v>174</v>
      </c>
      <c r="R1403">
        <v>1</v>
      </c>
      <c r="S1403">
        <v>3000000</v>
      </c>
      <c r="T1403" t="s">
        <v>2971</v>
      </c>
      <c r="U1403" t="s">
        <v>1167</v>
      </c>
      <c r="V1403" t="s">
        <v>2972</v>
      </c>
      <c r="W1403">
        <v>825</v>
      </c>
      <c r="X1403" t="b">
        <v>1</v>
      </c>
    </row>
    <row r="1404" spans="1:24" x14ac:dyDescent="0.25">
      <c r="A1404">
        <v>1454</v>
      </c>
      <c r="B1404" t="s">
        <v>2973</v>
      </c>
      <c r="C1404">
        <v>3</v>
      </c>
      <c r="D1404">
        <v>8</v>
      </c>
      <c r="E1404">
        <v>25</v>
      </c>
      <c r="F1404">
        <v>1</v>
      </c>
      <c r="G1404" t="s">
        <v>112</v>
      </c>
      <c r="H1404">
        <v>1</v>
      </c>
      <c r="I1404" t="s">
        <v>112</v>
      </c>
      <c r="J1404">
        <v>277</v>
      </c>
      <c r="K1404">
        <v>1247</v>
      </c>
      <c r="L1404">
        <v>1</v>
      </c>
      <c r="M1404">
        <v>121</v>
      </c>
      <c r="N1404">
        <v>545</v>
      </c>
      <c r="O1404">
        <v>1</v>
      </c>
      <c r="P1404">
        <v>48</v>
      </c>
      <c r="Q1404">
        <v>101</v>
      </c>
      <c r="R1404">
        <v>1</v>
      </c>
      <c r="S1404">
        <v>1500000</v>
      </c>
      <c r="T1404" t="s">
        <v>2974</v>
      </c>
      <c r="U1404" t="s">
        <v>112</v>
      </c>
      <c r="W1404">
        <v>412.5</v>
      </c>
      <c r="X1404" t="b">
        <v>1</v>
      </c>
    </row>
    <row r="1405" spans="1:24" x14ac:dyDescent="0.25">
      <c r="A1405">
        <v>1455</v>
      </c>
      <c r="B1405" t="s">
        <v>2975</v>
      </c>
      <c r="C1405">
        <v>4</v>
      </c>
      <c r="D1405">
        <v>18</v>
      </c>
      <c r="E1405">
        <v>70</v>
      </c>
      <c r="F1405">
        <v>1</v>
      </c>
      <c r="G1405">
        <v>3</v>
      </c>
      <c r="H1405">
        <v>1</v>
      </c>
      <c r="I1405" t="s">
        <v>112</v>
      </c>
      <c r="J1405">
        <v>998</v>
      </c>
      <c r="K1405">
        <v>2495</v>
      </c>
      <c r="L1405">
        <v>1</v>
      </c>
      <c r="M1405">
        <v>491</v>
      </c>
      <c r="N1405">
        <v>1228</v>
      </c>
      <c r="O1405">
        <v>1</v>
      </c>
      <c r="P1405">
        <v>91</v>
      </c>
      <c r="Q1405">
        <v>191</v>
      </c>
      <c r="R1405">
        <v>1</v>
      </c>
      <c r="S1405">
        <v>3000000</v>
      </c>
      <c r="T1405" t="s">
        <v>2976</v>
      </c>
      <c r="U1405" t="s">
        <v>1072</v>
      </c>
      <c r="V1405" t="s">
        <v>2977</v>
      </c>
      <c r="W1405">
        <v>825</v>
      </c>
      <c r="X1405" t="b">
        <v>1</v>
      </c>
    </row>
    <row r="1406" spans="1:24" x14ac:dyDescent="0.25">
      <c r="A1406">
        <v>1456</v>
      </c>
      <c r="B1406" t="s">
        <v>2978</v>
      </c>
      <c r="C1406">
        <v>3</v>
      </c>
      <c r="D1406">
        <v>8</v>
      </c>
      <c r="E1406">
        <v>25</v>
      </c>
      <c r="F1406">
        <v>1</v>
      </c>
      <c r="G1406" t="s">
        <v>112</v>
      </c>
      <c r="H1406">
        <v>3</v>
      </c>
      <c r="I1406" t="s">
        <v>112</v>
      </c>
      <c r="J1406">
        <v>203</v>
      </c>
      <c r="K1406">
        <v>914</v>
      </c>
      <c r="L1406">
        <v>1</v>
      </c>
      <c r="M1406">
        <v>119</v>
      </c>
      <c r="N1406">
        <v>536</v>
      </c>
      <c r="O1406">
        <v>1</v>
      </c>
      <c r="P1406">
        <v>103</v>
      </c>
      <c r="Q1406">
        <v>216</v>
      </c>
      <c r="R1406">
        <v>1</v>
      </c>
      <c r="S1406">
        <v>1500000</v>
      </c>
      <c r="T1406" t="s">
        <v>2979</v>
      </c>
      <c r="U1406" t="s">
        <v>112</v>
      </c>
      <c r="W1406">
        <v>412.5</v>
      </c>
      <c r="X1406" t="b">
        <v>1</v>
      </c>
    </row>
    <row r="1407" spans="1:24" x14ac:dyDescent="0.25">
      <c r="A1407">
        <v>1457</v>
      </c>
      <c r="B1407" t="s">
        <v>2980</v>
      </c>
      <c r="C1407">
        <v>4</v>
      </c>
      <c r="D1407">
        <v>18</v>
      </c>
      <c r="E1407">
        <v>70</v>
      </c>
      <c r="F1407">
        <v>1</v>
      </c>
      <c r="G1407">
        <v>3</v>
      </c>
      <c r="H1407">
        <v>3</v>
      </c>
      <c r="I1407" t="s">
        <v>112</v>
      </c>
      <c r="J1407">
        <v>731</v>
      </c>
      <c r="K1407">
        <v>1828</v>
      </c>
      <c r="L1407">
        <v>1</v>
      </c>
      <c r="M1407">
        <v>482</v>
      </c>
      <c r="N1407">
        <v>1205</v>
      </c>
      <c r="O1407">
        <v>1</v>
      </c>
      <c r="P1407">
        <v>194</v>
      </c>
      <c r="Q1407">
        <v>407</v>
      </c>
      <c r="R1407">
        <v>1</v>
      </c>
      <c r="S1407">
        <v>3000000</v>
      </c>
      <c r="T1407" t="s">
        <v>2981</v>
      </c>
      <c r="U1407" t="s">
        <v>764</v>
      </c>
      <c r="V1407" t="s">
        <v>2982</v>
      </c>
      <c r="W1407">
        <v>825</v>
      </c>
      <c r="X1407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"/>
  <sheetViews>
    <sheetView workbookViewId="0">
      <selection activeCell="I18" sqref="I18"/>
    </sheetView>
  </sheetViews>
  <sheetFormatPr defaultRowHeight="15" x14ac:dyDescent="0.25"/>
  <cols>
    <col min="1" max="1" width="11.140625" bestFit="1" customWidth="1"/>
    <col min="2" max="3" width="11.140625" customWidth="1"/>
    <col min="4" max="4" width="11.140625" bestFit="1" customWidth="1"/>
    <col min="5" max="5" width="12.85546875" bestFit="1" customWidth="1"/>
    <col min="6" max="6" width="11.28515625" bestFit="1" customWidth="1"/>
  </cols>
  <sheetData>
    <row r="1" spans="1:6" x14ac:dyDescent="0.25">
      <c r="A1" t="s">
        <v>31</v>
      </c>
      <c r="B1" t="s">
        <v>31</v>
      </c>
      <c r="C1" s="21" t="s">
        <v>42</v>
      </c>
      <c r="D1" t="s">
        <v>31</v>
      </c>
      <c r="E1" t="s">
        <v>53</v>
      </c>
      <c r="F1">
        <v>0</v>
      </c>
    </row>
    <row r="2" spans="1:6" x14ac:dyDescent="0.25">
      <c r="A2" t="s">
        <v>22</v>
      </c>
      <c r="B2" t="s">
        <v>32</v>
      </c>
      <c r="C2" t="s">
        <v>22</v>
      </c>
      <c r="D2" s="21">
        <v>0.2</v>
      </c>
      <c r="E2" t="s">
        <v>56</v>
      </c>
      <c r="F2">
        <v>1</v>
      </c>
    </row>
    <row r="3" spans="1:6" x14ac:dyDescent="0.25">
      <c r="A3" t="s">
        <v>23</v>
      </c>
      <c r="B3" s="21" t="s">
        <v>33</v>
      </c>
      <c r="C3" t="s">
        <v>23</v>
      </c>
      <c r="D3" s="21">
        <v>0.4</v>
      </c>
      <c r="E3" t="s">
        <v>55</v>
      </c>
      <c r="F3">
        <v>2</v>
      </c>
    </row>
    <row r="4" spans="1:6" x14ac:dyDescent="0.25">
      <c r="A4" t="s">
        <v>24</v>
      </c>
      <c r="B4" s="21" t="s">
        <v>34</v>
      </c>
      <c r="C4" t="s">
        <v>24</v>
      </c>
      <c r="D4" s="21">
        <v>0.6</v>
      </c>
      <c r="E4" t="s">
        <v>57</v>
      </c>
      <c r="F4" s="38">
        <v>3</v>
      </c>
    </row>
    <row r="5" spans="1:6" x14ac:dyDescent="0.25">
      <c r="A5" t="s">
        <v>25</v>
      </c>
      <c r="B5" s="21" t="s">
        <v>35</v>
      </c>
      <c r="C5" t="s">
        <v>25</v>
      </c>
      <c r="D5" s="21">
        <v>0.8</v>
      </c>
      <c r="E5" t="s">
        <v>58</v>
      </c>
      <c r="F5" s="21"/>
    </row>
    <row r="6" spans="1:6" x14ac:dyDescent="0.25">
      <c r="A6" t="s">
        <v>26</v>
      </c>
      <c r="B6" s="21" t="s">
        <v>36</v>
      </c>
      <c r="C6" t="s">
        <v>26</v>
      </c>
      <c r="D6" s="1" t="s">
        <v>42</v>
      </c>
      <c r="E6" t="s">
        <v>59</v>
      </c>
      <c r="F6" s="21"/>
    </row>
    <row r="7" spans="1:6" x14ac:dyDescent="0.25">
      <c r="B7" s="21" t="s">
        <v>37</v>
      </c>
      <c r="C7" t="s">
        <v>32</v>
      </c>
      <c r="E7" t="s">
        <v>60</v>
      </c>
      <c r="F7" s="21"/>
    </row>
    <row r="8" spans="1:6" x14ac:dyDescent="0.25">
      <c r="B8" s="21" t="s">
        <v>38</v>
      </c>
      <c r="C8" s="21" t="s">
        <v>33</v>
      </c>
      <c r="E8" t="s">
        <v>61</v>
      </c>
      <c r="F8" s="21"/>
    </row>
    <row r="9" spans="1:6" x14ac:dyDescent="0.25">
      <c r="B9" s="21" t="s">
        <v>39</v>
      </c>
      <c r="C9" s="21" t="s">
        <v>34</v>
      </c>
      <c r="E9" t="s">
        <v>62</v>
      </c>
      <c r="F9" s="21"/>
    </row>
    <row r="10" spans="1:6" x14ac:dyDescent="0.25">
      <c r="B10" s="21" t="s">
        <v>40</v>
      </c>
      <c r="C10" s="21" t="s">
        <v>35</v>
      </c>
      <c r="E10" t="s">
        <v>63</v>
      </c>
      <c r="F10" s="21"/>
    </row>
    <row r="11" spans="1:6" x14ac:dyDescent="0.25">
      <c r="B11" s="21" t="s">
        <v>41</v>
      </c>
      <c r="C11" s="21" t="s">
        <v>36</v>
      </c>
      <c r="E11" t="s">
        <v>64</v>
      </c>
      <c r="F11" s="21"/>
    </row>
    <row r="12" spans="1:6" x14ac:dyDescent="0.25">
      <c r="B12" s="21"/>
      <c r="C12" s="21" t="s">
        <v>37</v>
      </c>
      <c r="E12" t="s">
        <v>65</v>
      </c>
      <c r="F12" s="21"/>
    </row>
    <row r="13" spans="1:6" x14ac:dyDescent="0.25">
      <c r="B13" s="21"/>
      <c r="C13" s="21" t="s">
        <v>38</v>
      </c>
      <c r="E13" t="s">
        <v>66</v>
      </c>
      <c r="F13" s="21"/>
    </row>
    <row r="14" spans="1:6" x14ac:dyDescent="0.25">
      <c r="B14" s="21"/>
      <c r="C14" s="21" t="s">
        <v>39</v>
      </c>
      <c r="E14" t="s">
        <v>67</v>
      </c>
      <c r="F14" s="21"/>
    </row>
    <row r="15" spans="1:6" x14ac:dyDescent="0.25">
      <c r="B15" s="21"/>
      <c r="C15" s="21" t="s">
        <v>40</v>
      </c>
      <c r="E15" t="s">
        <v>68</v>
      </c>
      <c r="F15" s="21"/>
    </row>
    <row r="16" spans="1:6" x14ac:dyDescent="0.25">
      <c r="B16" s="21"/>
      <c r="C16" s="21" t="s">
        <v>41</v>
      </c>
      <c r="E16" t="s">
        <v>69</v>
      </c>
      <c r="F16" s="21"/>
    </row>
    <row r="17" spans="2:6" x14ac:dyDescent="0.25">
      <c r="B17" s="21"/>
      <c r="C17" s="21"/>
      <c r="E17" t="s">
        <v>70</v>
      </c>
      <c r="F17" s="21"/>
    </row>
    <row r="18" spans="2:6" x14ac:dyDescent="0.25">
      <c r="B18" s="21"/>
      <c r="E18" t="s">
        <v>71</v>
      </c>
      <c r="F18" s="21"/>
    </row>
    <row r="19" spans="2:6" x14ac:dyDescent="0.25">
      <c r="E19" t="s">
        <v>72</v>
      </c>
      <c r="F19" s="21"/>
    </row>
    <row r="20" spans="2:6" x14ac:dyDescent="0.25">
      <c r="E20" t="s">
        <v>73</v>
      </c>
      <c r="F20" s="21"/>
    </row>
    <row r="21" spans="2:6" x14ac:dyDescent="0.25">
      <c r="E21" t="s">
        <v>74</v>
      </c>
      <c r="F21" s="21"/>
    </row>
    <row r="22" spans="2:6" x14ac:dyDescent="0.25">
      <c r="E22" t="s">
        <v>75</v>
      </c>
      <c r="F22" s="21"/>
    </row>
    <row r="23" spans="2:6" x14ac:dyDescent="0.25">
      <c r="E23" t="s">
        <v>76</v>
      </c>
      <c r="F23" s="21"/>
    </row>
    <row r="24" spans="2:6" x14ac:dyDescent="0.25">
      <c r="E24" t="s">
        <v>77</v>
      </c>
      <c r="F24" s="21"/>
    </row>
    <row r="25" spans="2:6" x14ac:dyDescent="0.25">
      <c r="E25" t="s">
        <v>78</v>
      </c>
      <c r="F25" s="21"/>
    </row>
    <row r="26" spans="2:6" x14ac:dyDescent="0.25">
      <c r="E26" t="s">
        <v>79</v>
      </c>
      <c r="F26" s="21"/>
    </row>
    <row r="27" spans="2:6" x14ac:dyDescent="0.25">
      <c r="E27" t="s">
        <v>80</v>
      </c>
    </row>
    <row r="28" spans="2:6" x14ac:dyDescent="0.25">
      <c r="E2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Calculator</vt:lpstr>
      <vt:lpstr>Monster Database</vt:lpstr>
      <vt:lpstr>Lists</vt:lpstr>
      <vt:lpstr>'Monster Database'!aaa</vt:lpstr>
      <vt:lpstr>'Monster Database'!aaa_1</vt:lpstr>
      <vt:lpstr>'Monster Database'!asdf_1</vt:lpstr>
      <vt:lpstr>'Monster Database'!csv</vt:lpstr>
      <vt:lpstr>Elements</vt:lpstr>
      <vt:lpstr>ElementTypes</vt:lpstr>
      <vt:lpstr>EnhancedOrbs</vt:lpstr>
      <vt:lpstr>OrbMatches</vt:lpstr>
      <vt:lpstr>RowCount</vt:lpstr>
      <vt:lpstr>'Monster Database'!test</vt:lpstr>
      <vt:lpstr>Types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Arkaether</dc:creator>
  <cp:lastModifiedBy>Arkaether</cp:lastModifiedBy>
  <dcterms:created xsi:type="dcterms:W3CDTF">2014-02-15T03:59:28Z</dcterms:created>
  <dcterms:modified xsi:type="dcterms:W3CDTF">2014-06-28T05:30:47Z</dcterms:modified>
</cp:coreProperties>
</file>